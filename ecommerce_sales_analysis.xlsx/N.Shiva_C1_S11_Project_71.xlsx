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c6b3428c92ed1110/Desktop/NIIT-DA/EXCEL/Project/"/>
    </mc:Choice>
  </mc:AlternateContent>
  <xr:revisionPtr revIDLastSave="47" documentId="13_ncr:1_{40737BDC-752D-4359-9A22-F3F26413AAF3}" xr6:coauthVersionLast="47" xr6:coauthVersionMax="47" xr10:uidLastSave="{021AD44C-BBE4-4803-BE2A-C2CDCD3628A1}"/>
  <bookViews>
    <workbookView xWindow="-108" yWindow="-108" windowWidth="23256" windowHeight="12456" activeTab="7" xr2:uid="{00000000-000D-0000-FFFF-FFFF00000000}"/>
  </bookViews>
  <sheets>
    <sheet name="E-Commerce Dataset" sheetId="1" r:id="rId1"/>
    <sheet name="Sheet3" sheetId="4" state="hidden" r:id="rId2"/>
    <sheet name="Sheet4" sheetId="5" state="hidden" r:id="rId3"/>
    <sheet name="Task-OB-1" sheetId="2" r:id="rId4"/>
    <sheet name="Task-OB-2" sheetId="3" r:id="rId5"/>
    <sheet name="Task-OB-3" sheetId="6" r:id="rId6"/>
    <sheet name="Task-OB-4" sheetId="8" r:id="rId7"/>
    <sheet name="Task-OB-5" sheetId="9" r:id="rId8"/>
  </sheets>
  <definedNames>
    <definedName name="_xlnm._FilterDatabase" localSheetId="0" hidden="1">'E-Commerce Dataset'!$A$1:$M$256</definedName>
    <definedName name="_xlnm._FilterDatabase" localSheetId="3" hidden="1">'Task-OB-1'!$A$1:$M$256</definedName>
    <definedName name="_xlchart.v1.0" hidden="1">'Task-OB-4'!$A$34</definedName>
    <definedName name="_xlchart.v1.1" hidden="1">'Task-OB-4'!$A$35:$A$284</definedName>
    <definedName name="_xlchart.v1.2" hidden="1">'Task-OB-4'!$A$34</definedName>
    <definedName name="_xlchart.v1.3" hidden="1">'Task-OB-4'!$A$35:$A$284</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9" i="8" l="1"/>
  <c r="B28" i="8"/>
  <c r="B26" i="8"/>
  <c r="B25" i="8"/>
  <c r="B27" i="8" s="1"/>
  <c r="C2" i="3"/>
  <c r="B2" i="3"/>
  <c r="A2" i="3"/>
</calcChain>
</file>

<file path=xl/sharedStrings.xml><?xml version="1.0" encoding="utf-8"?>
<sst xmlns="http://schemas.openxmlformats.org/spreadsheetml/2006/main" count="3151" uniqueCount="532">
  <si>
    <t>Order_ID</t>
  </si>
  <si>
    <t>Order_Date</t>
  </si>
  <si>
    <t>Customer_ID</t>
  </si>
  <si>
    <t>Gender</t>
  </si>
  <si>
    <t>Age</t>
  </si>
  <si>
    <t>Region</t>
  </si>
  <si>
    <t>Product_Category</t>
  </si>
  <si>
    <t>Payment_Method</t>
  </si>
  <si>
    <t>Quantity</t>
  </si>
  <si>
    <t>Unit_Price</t>
  </si>
  <si>
    <t>Discount_%</t>
  </si>
  <si>
    <t>Delivery_Days</t>
  </si>
  <si>
    <t>Total_Sales</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</si>
  <si>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</si>
  <si>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</si>
  <si>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</si>
  <si>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</si>
  <si>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</si>
  <si>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</si>
  <si>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</si>
  <si>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</si>
  <si>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</si>
  <si>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</si>
  <si>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</si>
  <si>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</si>
  <si>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</si>
  <si>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</si>
  <si>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</si>
  <si>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</si>
  <si>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</si>
  <si>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</si>
  <si>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</si>
  <si>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</si>
  <si>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</si>
  <si>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</si>
  <si>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</si>
  <si>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</si>
  <si>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</si>
  <si>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</si>
  <si>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</si>
  <si>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</si>
  <si>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</si>
  <si>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</si>
  <si>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</si>
  <si>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</si>
  <si>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</si>
  <si>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</si>
  <si>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</si>
  <si>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</si>
  <si>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</si>
  <si>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</si>
  <si>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</si>
  <si>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</si>
  <si>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</si>
  <si>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</si>
  <si>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</si>
  <si>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</si>
  <si>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</si>
  <si>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</si>
  <si>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</si>
  <si>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</si>
  <si>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</si>
  <si>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</si>
  <si>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</si>
  <si>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</si>
  <si>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</si>
  <si>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</si>
  <si>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</si>
  <si>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</si>
  <si>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</si>
  <si>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</si>
  <si>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</si>
  <si>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</si>
  <si>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</si>
  <si>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</si>
  <si>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</si>
  <si>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</si>
  <si>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</si>
  <si>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</si>
  <si>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</si>
  <si>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</si>
  <si>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</si>
  <si>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</si>
  <si>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</si>
  <si>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</si>
  <si>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</si>
  <si>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</si>
  <si>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</si>
  <si>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</si>
  <si>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</si>
  <si>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</si>
  <si>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</si>
  <si>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</si>
  <si>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</si>
  <si>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</si>
  <si>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</si>
  <si>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</si>
  <si>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</si>
  <si>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</si>
  <si>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</si>
  <si>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</si>
  <si>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</si>
  <si>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</si>
  <si>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</si>
  <si>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</si>
  <si>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</si>
  <si>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</si>
  <si>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</si>
  <si>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</si>
  <si>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</si>
  <si>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</si>
  <si>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</si>
  <si>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</si>
  <si>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</si>
  <si>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</si>
  <si>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</si>
  <si>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</si>
  <si>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</si>
  <si>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</si>
  <si>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</si>
  <si>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</si>
  <si>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</si>
  <si>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</si>
  <si>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</si>
  <si>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</si>
  <si>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</si>
  <si>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</si>
  <si>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</si>
  <si>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</si>
  <si>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</si>
  <si>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</si>
  <si>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</si>
  <si>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</si>
  <si>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</si>
  <si>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</si>
  <si>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</si>
  <si>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</si>
  <si>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</si>
  <si>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</si>
  <si>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</si>
  <si>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</si>
  <si>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</si>
  <si>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</si>
  <si>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</si>
  <si>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</si>
  <si>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</si>
  <si>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</si>
  <si>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</si>
  <si>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</si>
  <si>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</si>
  <si>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</si>
  <si>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</si>
  <si>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</si>
  <si>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</si>
  <si>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</si>
  <si>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</si>
  <si>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</si>
  <si>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</si>
  <si>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</si>
  <si>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</si>
  <si>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</si>
  <si>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</si>
  <si>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</si>
  <si>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</si>
  <si>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</si>
  <si>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</si>
  <si>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</si>
  <si>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</si>
  <si>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</si>
  <si>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</si>
  <si>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</si>
  <si>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</si>
  <si>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</si>
  <si>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</si>
  <si>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</si>
  <si>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</si>
  <si>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</si>
  <si>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</si>
  <si>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</si>
  <si>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</si>
  <si>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</si>
  <si>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</si>
  <si>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</si>
  <si>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</si>
  <si>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</si>
  <si>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</si>
  <si>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</si>
  <si>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</si>
  <si>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</si>
  <si>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</si>
  <si>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</si>
  <si>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</si>
  <si>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</si>
  <si>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</si>
  <si>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</si>
  <si>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</si>
  <si>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</si>
  <si>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</si>
  <si>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</si>
  <si>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</si>
  <si>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</si>
  <si>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</si>
  <si>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</si>
  <si>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</si>
  <si>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</si>
  <si>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</si>
  <si>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</si>
  <si>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</si>
  <si>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</si>
  <si>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</si>
  <si>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</si>
  <si>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</si>
  <si>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</si>
  <si>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</si>
  <si>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</si>
  <si>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</si>
  <si>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</si>
  <si>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</si>
  <si>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</si>
  <si>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</si>
  <si>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</si>
  <si>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</si>
  <si>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</si>
  <si>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</si>
  <si>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</si>
  <si>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</si>
  <si>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</si>
  <si>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</si>
  <si>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</si>
  <si>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</si>
  <si>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</si>
  <si>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</si>
  <si>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</si>
  <si>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</si>
  <si>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</si>
  <si>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</si>
  <si>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</si>
  <si>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</si>
  <si>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</si>
  <si>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</si>
  <si>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</si>
  <si>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</si>
  <si>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</si>
  <si>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</si>
  <si>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</si>
  <si>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</si>
  <si>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</si>
  <si>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</si>
  <si>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</si>
  <si>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</si>
  <si>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</si>
  <si>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</si>
  <si>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</si>
  <si>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</si>
  <si>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</si>
  <si>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</si>
  <si>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</si>
  <si>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</si>
  <si>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</si>
  <si>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</si>
  <si>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</si>
  <si>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</si>
  <si>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</si>
  <si>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CUST202</t>
  </si>
  <si>
    <t>CUST535</t>
  </si>
  <si>
    <t>CUST960</t>
  </si>
  <si>
    <t>CUST370</t>
  </si>
  <si>
    <t>CUST206</t>
  </si>
  <si>
    <t>CUST171</t>
  </si>
  <si>
    <t>CUST800</t>
  </si>
  <si>
    <t>CUST120</t>
  </si>
  <si>
    <t>CUST714</t>
  </si>
  <si>
    <t>CUST221</t>
  </si>
  <si>
    <t>CUST566</t>
  </si>
  <si>
    <t>CUST314</t>
  </si>
  <si>
    <t>CUST430</t>
  </si>
  <si>
    <t>CUST558</t>
  </si>
  <si>
    <t>CUST187</t>
  </si>
  <si>
    <t>CUST472</t>
  </si>
  <si>
    <t>CUST199</t>
  </si>
  <si>
    <t>CUST971</t>
  </si>
  <si>
    <t>CUST763</t>
  </si>
  <si>
    <t>CUST230</t>
  </si>
  <si>
    <t>CUST761</t>
  </si>
  <si>
    <t>CUST408</t>
  </si>
  <si>
    <t>CUST869</t>
  </si>
  <si>
    <t>CUST443</t>
  </si>
  <si>
    <t>CUST591</t>
  </si>
  <si>
    <t>CUST513</t>
  </si>
  <si>
    <t>CUST905</t>
  </si>
  <si>
    <t>CUST485</t>
  </si>
  <si>
    <t>CUST291</t>
  </si>
  <si>
    <t>CUST376</t>
  </si>
  <si>
    <t>CUST260</t>
  </si>
  <si>
    <t>CUST559</t>
  </si>
  <si>
    <t>CUST413</t>
  </si>
  <si>
    <t>CUST121</t>
  </si>
  <si>
    <t>CUST352</t>
  </si>
  <si>
    <t>CUST847</t>
  </si>
  <si>
    <t>CUST956</t>
  </si>
  <si>
    <t>CUST660</t>
  </si>
  <si>
    <t>CUST574</t>
  </si>
  <si>
    <t>CUST158</t>
  </si>
  <si>
    <t>CUST610</t>
  </si>
  <si>
    <t>CUST781</t>
  </si>
  <si>
    <t>CUST575</t>
  </si>
  <si>
    <t>CUST799</t>
  </si>
  <si>
    <t>CUST882</t>
  </si>
  <si>
    <t>CUST289</t>
  </si>
  <si>
    <t>CUST786</t>
  </si>
  <si>
    <t>CUST662</t>
  </si>
  <si>
    <t>CUST975</t>
  </si>
  <si>
    <t>CUST666</t>
  </si>
  <si>
    <t>CUST343</t>
  </si>
  <si>
    <t>CUST931</t>
  </si>
  <si>
    <t>CUST604</t>
  </si>
  <si>
    <t>CUST584</t>
  </si>
  <si>
    <t>CUST918</t>
  </si>
  <si>
    <t>CUST746</t>
  </si>
  <si>
    <t>CUST940</t>
  </si>
  <si>
    <t>CUST266</t>
  </si>
  <si>
    <t>CUST373</t>
  </si>
  <si>
    <t>CUST487</t>
  </si>
  <si>
    <t>CUST700</t>
  </si>
  <si>
    <t>CUST415</t>
  </si>
  <si>
    <t>CUST113</t>
  </si>
  <si>
    <t>CUST341</t>
  </si>
  <si>
    <t>CUST876</t>
  </si>
  <si>
    <t>CUST445</t>
  </si>
  <si>
    <t>CUST664</t>
  </si>
  <si>
    <t>CUST997</t>
  </si>
  <si>
    <t>CUST439</t>
  </si>
  <si>
    <t>CUST191</t>
  </si>
  <si>
    <t>CUST466</t>
  </si>
  <si>
    <t>CUST554</t>
  </si>
  <si>
    <t>CUST527</t>
  </si>
  <si>
    <t>CUST608</t>
  </si>
  <si>
    <t>CUST875</t>
  </si>
  <si>
    <t>CUST134</t>
  </si>
  <si>
    <t>CUST305</t>
  </si>
  <si>
    <t>CUST180</t>
  </si>
  <si>
    <t>CUST661</t>
  </si>
  <si>
    <t>CUST101</t>
  </si>
  <si>
    <t>CUST489</t>
  </si>
  <si>
    <t>CUST665</t>
  </si>
  <si>
    <t>CUST205</t>
  </si>
  <si>
    <t>CUST871</t>
  </si>
  <si>
    <t>CUST921</t>
  </si>
  <si>
    <t>CUST576</t>
  </si>
  <si>
    <t>CUST802</t>
  </si>
  <si>
    <t>CUST501</t>
  </si>
  <si>
    <t>CUST829</t>
  </si>
  <si>
    <t>CUST655</t>
  </si>
  <si>
    <t>CUST261</t>
  </si>
  <si>
    <t>CUST301</t>
  </si>
  <si>
    <t>CUST369</t>
  </si>
  <si>
    <t>CUST962</t>
  </si>
  <si>
    <t>CUST915</t>
  </si>
  <si>
    <t>CUST555</t>
  </si>
  <si>
    <t>CUST561</t>
  </si>
  <si>
    <t>CUST826</t>
  </si>
  <si>
    <t>CUST351</t>
  </si>
  <si>
    <t>CUST801</t>
  </si>
  <si>
    <t>CUST395</t>
  </si>
  <si>
    <t>CUST824</t>
  </si>
  <si>
    <t>CUST819</t>
  </si>
  <si>
    <t>CUST848</t>
  </si>
  <si>
    <t>CUST437</t>
  </si>
  <si>
    <t>CUST978</t>
  </si>
  <si>
    <t>CUST152</t>
  </si>
  <si>
    <t>CUST891</t>
  </si>
  <si>
    <t>CUST316</t>
  </si>
  <si>
    <t>CUST863</t>
  </si>
  <si>
    <t>CUST287</t>
  </si>
  <si>
    <t>CUST479</t>
  </si>
  <si>
    <t>CUST592</t>
  </si>
  <si>
    <t>CUST140</t>
  </si>
  <si>
    <t>CUST256</t>
  </si>
  <si>
    <t>CUST114</t>
  </si>
  <si>
    <t>CUST912</t>
  </si>
  <si>
    <t>CUST164</t>
  </si>
  <si>
    <t>CUST938</t>
  </si>
  <si>
    <t>CUST620</t>
  </si>
  <si>
    <t>CUST228</t>
  </si>
  <si>
    <t>CUST747</t>
  </si>
  <si>
    <t>CUST571</t>
  </si>
  <si>
    <t>CUST162</t>
  </si>
  <si>
    <t>CUST238</t>
  </si>
  <si>
    <t>CUST598</t>
  </si>
  <si>
    <t>CUST692</t>
  </si>
  <si>
    <t>CUST491</t>
  </si>
  <si>
    <t>CUST774</t>
  </si>
  <si>
    <t>CUST518</t>
  </si>
  <si>
    <t>CUST388</t>
  </si>
  <si>
    <t>CUST478</t>
  </si>
  <si>
    <t>CUST872</t>
  </si>
  <si>
    <t>CUST589</t>
  </si>
  <si>
    <t>CUST330</t>
  </si>
  <si>
    <t>CUST127</t>
  </si>
  <si>
    <t>CUST234</t>
  </si>
  <si>
    <t>CUST300</t>
  </si>
  <si>
    <t>CUST939</t>
  </si>
  <si>
    <t>CUST879</t>
  </si>
  <si>
    <t>CUST132</t>
  </si>
  <si>
    <t>CUST147</t>
  </si>
  <si>
    <t>CUST602</t>
  </si>
  <si>
    <t>CUST506</t>
  </si>
  <si>
    <t>CUST673</t>
  </si>
  <si>
    <t>CUST827</t>
  </si>
  <si>
    <t>CUST904</t>
  </si>
  <si>
    <t>CUST198</t>
  </si>
  <si>
    <t>CUST783</t>
  </si>
  <si>
    <t>CUST825</t>
  </si>
  <si>
    <t>CUST646</t>
  </si>
  <si>
    <t>CUST838</t>
  </si>
  <si>
    <t>CUST712</t>
  </si>
  <si>
    <t>CUST742</t>
  </si>
  <si>
    <t>CUST868</t>
  </si>
  <si>
    <t>CUST104</t>
  </si>
  <si>
    <t>CUST317</t>
  </si>
  <si>
    <t>CUST866</t>
  </si>
  <si>
    <t>CUST497</t>
  </si>
  <si>
    <t>CUST970</t>
  </si>
  <si>
    <t>CUST894</t>
  </si>
  <si>
    <t>CUST492</t>
  </si>
  <si>
    <t>CUST306</t>
  </si>
  <si>
    <t>CUST957</t>
  </si>
  <si>
    <t>CUST653</t>
  </si>
  <si>
    <t>CUST991</t>
  </si>
  <si>
    <t>CUST560</t>
  </si>
  <si>
    <t>CUST790</t>
  </si>
  <si>
    <t>CUST674</t>
  </si>
  <si>
    <t>CUST963</t>
  </si>
  <si>
    <t>CUST842</t>
  </si>
  <si>
    <t>CUST340</t>
  </si>
  <si>
    <t>CUST663</t>
  </si>
  <si>
    <t>CUST195</t>
  </si>
  <si>
    <t>CUST833</t>
  </si>
  <si>
    <t>CUST754</t>
  </si>
  <si>
    <t>CUST270</t>
  </si>
  <si>
    <t>CUST640</t>
  </si>
  <si>
    <t>CUST135</t>
  </si>
  <si>
    <t>CUST624</t>
  </si>
  <si>
    <t>CUST259</t>
  </si>
  <si>
    <t>CUST798</t>
  </si>
  <si>
    <t>CUST342</t>
  </si>
  <si>
    <t>CUST185</t>
  </si>
  <si>
    <t>CUST895</t>
  </si>
  <si>
    <t>CUST677</t>
  </si>
  <si>
    <t>CUST656</t>
  </si>
  <si>
    <t>CUST745</t>
  </si>
  <si>
    <t>CUST719</t>
  </si>
  <si>
    <t>CUST897</t>
  </si>
  <si>
    <t>CUST739</t>
  </si>
  <si>
    <t>CUST605</t>
  </si>
  <si>
    <t>CUST447</t>
  </si>
  <si>
    <t>CUST572</t>
  </si>
  <si>
    <t>CUST324</t>
  </si>
  <si>
    <t>CUST484</t>
  </si>
  <si>
    <t>CUST476</t>
  </si>
  <si>
    <t>CUST382</t>
  </si>
  <si>
    <t>CUST732</t>
  </si>
  <si>
    <t>CUST727</t>
  </si>
  <si>
    <t>CUST844</t>
  </si>
  <si>
    <t>CUST358</t>
  </si>
  <si>
    <t>CUST458</t>
  </si>
  <si>
    <t>CUST809</t>
  </si>
  <si>
    <t>CUST510</t>
  </si>
  <si>
    <t>CUST748</t>
  </si>
  <si>
    <t>CUST417</t>
  </si>
  <si>
    <t>CUST776</t>
  </si>
  <si>
    <t>CUST333</t>
  </si>
  <si>
    <t>CUST926</t>
  </si>
  <si>
    <t>CUST473</t>
  </si>
  <si>
    <t>CUST771</t>
  </si>
  <si>
    <t>CUST707</t>
  </si>
  <si>
    <t>CUST332</t>
  </si>
  <si>
    <t>CUST791</t>
  </si>
  <si>
    <t>CUST212</t>
  </si>
  <si>
    <t>CUST929</t>
  </si>
  <si>
    <t>CUST596</t>
  </si>
  <si>
    <t>Female</t>
  </si>
  <si>
    <t>Male</t>
  </si>
  <si>
    <t>North</t>
  </si>
  <si>
    <t>East</t>
  </si>
  <si>
    <t>West</t>
  </si>
  <si>
    <t>South</t>
  </si>
  <si>
    <t>Electronics</t>
  </si>
  <si>
    <t>Home</t>
  </si>
  <si>
    <t>Beauty</t>
  </si>
  <si>
    <t>Books</t>
  </si>
  <si>
    <t>Fashion</t>
  </si>
  <si>
    <t>Debit Card</t>
  </si>
  <si>
    <t>Cash on Delivery</t>
  </si>
  <si>
    <t>UPI</t>
  </si>
  <si>
    <t>Credit Card</t>
  </si>
  <si>
    <t>Total Sales</t>
  </si>
  <si>
    <t>Mean</t>
  </si>
  <si>
    <t>Median</t>
  </si>
  <si>
    <t>Grand Total</t>
  </si>
  <si>
    <t>Sum of Total_Sales</t>
  </si>
  <si>
    <t>Average of Total_Sales2</t>
  </si>
  <si>
    <t>Product Category</t>
  </si>
  <si>
    <t>Average of Total_Sales</t>
  </si>
  <si>
    <t>Column Chart</t>
  </si>
  <si>
    <t>Bar Chart</t>
  </si>
  <si>
    <t>Jan</t>
  </si>
  <si>
    <t>Feb</t>
  </si>
  <si>
    <t>Mar</t>
  </si>
  <si>
    <t>Apr</t>
  </si>
  <si>
    <t>May</t>
  </si>
  <si>
    <t>Jun</t>
  </si>
  <si>
    <t>Jul</t>
  </si>
  <si>
    <t>Aug</t>
  </si>
  <si>
    <t>Sep</t>
  </si>
  <si>
    <t>Month</t>
  </si>
  <si>
    <t>Line Chart</t>
  </si>
  <si>
    <t>Count of Customer_ID</t>
  </si>
  <si>
    <t>Column Labels</t>
  </si>
  <si>
    <t>Count of Gender</t>
  </si>
  <si>
    <t>Average of Delivery_Days</t>
  </si>
  <si>
    <t>Maximum</t>
  </si>
  <si>
    <t>Minimum</t>
  </si>
  <si>
    <t>Range</t>
  </si>
  <si>
    <t>variance</t>
  </si>
  <si>
    <t>Standard Deviation</t>
  </si>
  <si>
    <t xml:space="preserve">Measures Spread of Delivery Time </t>
  </si>
  <si>
    <t>Count of Order_ID</t>
  </si>
  <si>
    <t>Payment Method</t>
  </si>
  <si>
    <t>Pie Chart</t>
  </si>
  <si>
    <t>Stacked Column</t>
  </si>
  <si>
    <t>Box Plot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</si>
</sst>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14009]dd/mm/yyyy;@"/>
    <numFmt numFmtId="166" formatCode="0.0"/>
  </numFmts>
  <fonts count="4" x14ac:knownFonts="1">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theme="3" tint="0.59999389629810485"/>
        <bgColor indexed="64"/>
      </patternFill>
    </fill>
    <fill>
      <patternFill patternType="solid">
        <fgColor rgb="FFFFC000"/>
        <bgColor indexed="64"/>
      </patternFill>
    </fill>
    <fill>
      <patternFill patternType="solid">
        <fgColor rgb="FF00B0F0"/>
        <bgColor indexed="64"/>
      </patternFill>
    </fill>
    <fill>
      <patternFill patternType="solid">
        <fgColor theme="8" tint="0.39997558519241921"/>
        <bgColor indexed="64"/>
      </patternFill>
    </fill>
    <fill>
      <patternFill patternType="solid">
        <fgColor theme="9" tint="0.39997558519241921"/>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top"/>
    </xf>
    <xf numFmtId="164" fontId="0" fillId="0" borderId="0" xfId="0" applyNumberFormat="1"/>
    <xf numFmtId="165" fontId="1" fillId="0" borderId="1" xfId="0" applyNumberFormat="1" applyFont="1" applyBorder="1" applyAlignment="1">
      <alignment horizontal="center" vertical="top"/>
    </xf>
    <xf numFmtId="165" fontId="0" fillId="0" borderId="0" xfId="0" applyNumberFormat="1"/>
    <xf numFmtId="1" fontId="1" fillId="0" borderId="1" xfId="0" applyNumberFormat="1" applyFont="1" applyBorder="1" applyAlignment="1">
      <alignment horizontal="center" vertical="top"/>
    </xf>
    <xf numFmtId="1"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1" fillId="0" borderId="0" xfId="0" applyFont="1"/>
    <xf numFmtId="166" fontId="0" fillId="0" borderId="0" xfId="0" applyNumberFormat="1"/>
    <xf numFmtId="0" fontId="1" fillId="5" borderId="0" xfId="0" applyFont="1" applyFill="1"/>
    <xf numFmtId="0" fontId="0" fillId="5" borderId="0" xfId="0" applyFill="1"/>
    <xf numFmtId="0" fontId="3" fillId="5" borderId="0" xfId="0" applyFont="1" applyFill="1"/>
    <xf numFmtId="1" fontId="0" fillId="0" borderId="1" xfId="0" applyNumberFormat="1" applyBorder="1"/>
    <xf numFmtId="0" fontId="2" fillId="0" borderId="2" xfId="0" applyFon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2" fillId="4" borderId="2" xfId="0" applyFont="1"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0" fillId="4" borderId="7" xfId="0" applyFill="1" applyBorder="1" applyAlignment="1">
      <alignment horizontal="center"/>
    </xf>
    <xf numFmtId="0" fontId="2" fillId="3" borderId="0" xfId="0" applyFont="1" applyFill="1" applyAlignment="1">
      <alignment horizontal="center"/>
    </xf>
    <xf numFmtId="0" fontId="0" fillId="3" borderId="0" xfId="0" applyFill="1" applyAlignment="1">
      <alignment horizontal="center"/>
    </xf>
    <xf numFmtId="0" fontId="2" fillId="6" borderId="0" xfId="0" applyFont="1" applyFill="1" applyAlignment="1">
      <alignment horizontal="center"/>
    </xf>
    <xf numFmtId="0" fontId="0" fillId="6" borderId="0" xfId="0"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[Shiva_C1_S11_Project_71.xlsx]Task-OB-2!PivotTable2</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b="1">
                <a:solidFill>
                  <a:sysClr val="windowText" lastClr="000000"/>
                </a:solidFill>
              </a:rPr>
              <a:t>Sales by Product Category</a:t>
            </a:r>
          </a:p>
        </c:rich>
      </c:tx>
      <c:overlay val="0"/>
      <c:spPr>
        <a:solidFill>
          <a:schemeClr val="bg2">
            <a:lumMod val="50000"/>
          </a:schemeClr>
        </a:solid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15048118985127"/>
          <c:y val="0.43645450568678917"/>
          <c:w val="0.79329396325459323"/>
          <c:h val="0.33584718576844563"/>
        </c:manualLayout>
      </c:layout>
      <c:barChart>
        <c:barDir val="col"/>
        <c:grouping val="clustered"/>
        <c:varyColors val="0"/>
        <c:ser>
          <c:idx val="0"/>
          <c:order val="0"/>
          <c:tx>
            <c:strRef>
              <c:f>'Task-OB-2'!$B$8</c:f>
              <c:strCache>
                <c:ptCount val="1"/>
                <c:pt idx="0">
                  <c:v>Sum of Total_Sales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'Task-OB-2'!$A$9:$A$14</c:f>
              <c:strCache>
                <c:ptCount val="5"/>
                <c:pt idx="0">
                  <c:v>Fashion</c:v>
                </c:pt>
                <c:pt idx="1">
                  <c:v>Books</c:v>
                </c:pt>
                <c:pt idx="2">
                  <c:v>Home</c:v>
                </c:pt>
                <c:pt idx="3">
                  <c:v>Electronics</c:v>
                </c:pt>
                <c:pt idx="4">
                  <c:v>Beauty</c:v>
                </c:pt>
              </c:strCache>
            </c:strRef>
          </c:cat>
          <c:val>
            <c:numRef>
              <c:f>'Task-OB-2'!$B$9:$B$14</c:f>
              <c:numCache>
                <c:formatCode>0</c:formatCode>
                <c:ptCount val="5"/>
                <c:pt idx="0">
                  <c:v>392283.94999999995</c:v>
                </c:pt>
                <c:pt idx="1">
                  <c:v>371705.40000000008</c:v>
                </c:pt>
                <c:pt idx="2">
                  <c:v>340431.84999999992</c:v>
                </c:pt>
                <c:pt idx="3">
                  <c:v>325609.7</c:v>
                </c:pt>
                <c:pt idx="4">
                  <c:v>322332.14999999997</c:v>
                </c:pt>
              </c:numCache>
            </c:numRef>
          </c:val>
          <c:extLst>
            <c:ext xmlns:c16="http://schemas.microsoft.com/office/drawing/2014/chart" uri="{C3380CC4-5D6E-409C-BE32-E72D297353CC}">
              <c16:uniqueId val="{00000000-E966-417A-ACC3-BDB286AACE77}"/>
            </c:ext>
          </c:extLst>
        </c:ser>
        <c:ser>
          <c:idx val="1"/>
          <c:order val="1"/>
          <c:tx>
            <c:strRef>
              <c:f>'Task-OB-2'!$C$8</c:f>
              <c:strCache>
                <c:ptCount val="1"/>
                <c:pt idx="0">
                  <c:v>Average of Total_Sales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'Task-OB-2'!$A$9:$A$14</c:f>
              <c:strCache>
                <c:ptCount val="5"/>
                <c:pt idx="0">
                  <c:v>Fashion</c:v>
                </c:pt>
                <c:pt idx="1">
                  <c:v>Books</c:v>
                </c:pt>
                <c:pt idx="2">
                  <c:v>Home</c:v>
                </c:pt>
                <c:pt idx="3">
                  <c:v>Electronics</c:v>
                </c:pt>
                <c:pt idx="4">
                  <c:v>Beauty</c:v>
                </c:pt>
              </c:strCache>
            </c:strRef>
          </c:cat>
          <c:val>
            <c:numRef>
              <c:f>'Task-OB-2'!$C$9:$C$14</c:f>
              <c:numCache>
                <c:formatCode>0</c:formatCode>
                <c:ptCount val="5"/>
                <c:pt idx="0">
                  <c:v>8172.5822916666657</c:v>
                </c:pt>
                <c:pt idx="1">
                  <c:v>7288.3411764705897</c:v>
                </c:pt>
                <c:pt idx="2">
                  <c:v>6304.293518518517</c:v>
                </c:pt>
                <c:pt idx="3">
                  <c:v>6384.5039215686274</c:v>
                </c:pt>
                <c:pt idx="4">
                  <c:v>7007.2206521739126</c:v>
                </c:pt>
              </c:numCache>
            </c:numRef>
          </c:val>
          <c:extLst>
            <c:ext xmlns:c16="http://schemas.microsoft.com/office/drawing/2014/chart" uri="{C3380CC4-5D6E-409C-BE32-E72D297353CC}">
              <c16:uniqueId val="{00000001-E966-417A-ACC3-BDB286AACE77}"/>
            </c:ext>
          </c:extLst>
        </c:ser>
        <c:dLbls>
          <c:dLblPos val="outEnd"/>
          <c:showLegendKey val="0"/>
          <c:showVal val="1"/>
          <c:showCatName val="0"/>
          <c:showSerName val="0"/>
          <c:showPercent val="0"/>
          <c:showBubbleSize val="0"/>
        </c:dLbls>
        <c:gapWidth val="219"/>
        <c:overlap val="-27"/>
        <c:axId val="1470933807"/>
        <c:axId val="1470931407"/>
      </c:barChart>
      <c:catAx>
        <c:axId val="1470933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b="1">
                    <a:solidFill>
                      <a:schemeClr val="tx1"/>
                    </a:solidFill>
                  </a:rPr>
                  <a:t>Product Category</a:t>
                </a:r>
              </a:p>
            </c:rich>
          </c:tx>
          <c:layout>
            <c:manualLayout>
              <c:xMode val="edge"/>
              <c:yMode val="edge"/>
              <c:x val="0.46442935258092738"/>
              <c:y val="0.8797010790317877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0931407"/>
        <c:crosses val="autoZero"/>
        <c:auto val="1"/>
        <c:lblAlgn val="ctr"/>
        <c:lblOffset val="100"/>
        <c:noMultiLvlLbl val="0"/>
      </c:catAx>
      <c:valAx>
        <c:axId val="147093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b="1">
                    <a:solidFill>
                      <a:schemeClr val="tx1"/>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9338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[Shiva_C1_S11_Project_71.xlsx]Task-OB-2!PivotTable4</c:name>
    <c:fmtId val="0"/>
  </c:pivotSource>
  <c:chart>
    <c:title>
      <c:tx>
        <c:rich>
          <a:bodyPr rot="0" spcFirstLastPara="1" vertOverflow="ellipsis" vert="horz" wrap="square" anchor="ctr" anchorCtr="1"/>
          <a:lstStyle/>
          <a:p>
            <a:pPr>
              <a:defRPr sz="1400" b="1" i="0" u="none" strike="noStrike" kern="1200" spc="0" baseline="0">
                <a:solidFill>
                  <a:schemeClr val="bg2">
                    <a:lumMod val="25000"/>
                  </a:schemeClr>
                </a:solidFill>
                <a:latin typeface="+mn-lt"/>
                <a:ea typeface="+mn-ea"/>
                <a:cs typeface="+mn-cs"/>
              </a:defRPr>
            </a:pPr>
            <a:r>
              <a:rPr lang="en-US" b="1">
                <a:solidFill>
                  <a:sysClr val="windowText" lastClr="000000"/>
                </a:solidFill>
              </a:rPr>
              <a:t>Regional Sales Performance</a:t>
            </a:r>
          </a:p>
        </c:rich>
      </c:tx>
      <c:layout>
        <c:manualLayout>
          <c:xMode val="edge"/>
          <c:yMode val="edge"/>
          <c:x val="0.33393044619422574"/>
          <c:y val="6.3794109069699623E-2"/>
        </c:manualLayout>
      </c:layout>
      <c:overlay val="0"/>
      <c:spPr>
        <a:noFill/>
        <a:ln>
          <a:solidFill>
            <a:schemeClr val="bg2">
              <a:lumMod val="50000"/>
            </a:schemeClr>
          </a:solidFill>
        </a:ln>
        <a:effectLst/>
      </c:spPr>
      <c:txPr>
        <a:bodyPr rot="0" spcFirstLastPara="1" vertOverflow="ellipsis" vert="horz" wrap="square" anchor="ctr" anchorCtr="1"/>
        <a:lstStyle/>
        <a:p>
          <a:pPr>
            <a:defRPr sz="1400" b="1"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pivotFmt>
      <c:pivotFmt>
        <c:idx val="2"/>
        <c:spPr>
          <a:solidFill>
            <a:schemeClr val="tx2">
              <a:lumMod val="60000"/>
              <a:lumOff val="40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3">
              <a:lumMod val="75000"/>
            </a:schemeClr>
          </a:solidFill>
          <a:ln>
            <a:noFill/>
          </a:ln>
          <a:effectLst/>
        </c:spPr>
      </c:pivotFmt>
    </c:pivotFmts>
    <c:plotArea>
      <c:layout/>
      <c:barChart>
        <c:barDir val="bar"/>
        <c:grouping val="clustered"/>
        <c:varyColors val="0"/>
        <c:ser>
          <c:idx val="0"/>
          <c:order val="0"/>
          <c:tx>
            <c:strRef>
              <c:f>'Task-OB-2'!$B$29</c:f>
              <c:strCache>
                <c:ptCount val="1"/>
                <c:pt idx="0">
                  <c:v>Total</c:v>
                </c:pt>
              </c:strCache>
            </c:strRef>
          </c:tx>
          <c:spPr>
            <a:solidFill>
              <a:srgbClr val="00B0F0"/>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5-D16C-4BE9-822A-F6F20C352455}"/>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4-D16C-4BE9-822A-F6F20C352455}"/>
              </c:ext>
            </c:extLst>
          </c:dPt>
          <c:dPt>
            <c:idx val="2"/>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3-D16C-4BE9-822A-F6F20C352455}"/>
              </c:ext>
            </c:extLst>
          </c:dPt>
          <c:dPt>
            <c:idx val="3"/>
            <c:invertIfNegative val="0"/>
            <c:bubble3D val="0"/>
            <c:spPr>
              <a:solidFill>
                <a:schemeClr val="bg2">
                  <a:lumMod val="50000"/>
                </a:schemeClr>
              </a:solidFill>
              <a:ln>
                <a:noFill/>
              </a:ln>
              <a:effectLst/>
            </c:spPr>
            <c:extLst>
              <c:ext xmlns:c16="http://schemas.microsoft.com/office/drawing/2014/chart" uri="{C3380CC4-5D6E-409C-BE32-E72D297353CC}">
                <c16:uniqueId val="{00000002-D16C-4BE9-822A-F6F20C35245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'Task-OB-2'!$A$30:$A$34</c:f>
              <c:strCache>
                <c:ptCount val="4"/>
                <c:pt idx="0">
                  <c:v>North</c:v>
                </c:pt>
                <c:pt idx="1">
                  <c:v>South</c:v>
                </c:pt>
                <c:pt idx="2">
                  <c:v>West</c:v>
                </c:pt>
                <c:pt idx="3">
                  <c:v>East</c:v>
                </c:pt>
              </c:strCache>
            </c:strRef>
          </c:cat>
          <c:val>
            <c:numRef>
              <c:f>'Task-OB-2'!$B$30:$B$34</c:f>
              <c:numCache>
                <c:formatCode>0</c:formatCode>
                <c:ptCount val="4"/>
                <c:pt idx="0">
                  <c:v>545655.54999999993</c:v>
                </c:pt>
                <c:pt idx="1">
                  <c:v>504315.1</c:v>
                </c:pt>
                <c:pt idx="2">
                  <c:v>368350.25000000006</c:v>
                </c:pt>
                <c:pt idx="3">
                  <c:v>334042.14999999997</c:v>
                </c:pt>
              </c:numCache>
            </c:numRef>
          </c:val>
          <c:extLst>
            <c:ext xmlns:c16="http://schemas.microsoft.com/office/drawing/2014/chart" uri="{C3380CC4-5D6E-409C-BE32-E72D297353CC}">
              <c16:uniqueId val="{00000000-D16C-4BE9-822A-F6F20C352455}"/>
            </c:ext>
          </c:extLst>
        </c:ser>
        <c:dLbls>
          <c:dLblPos val="outEnd"/>
          <c:showLegendKey val="0"/>
          <c:showVal val="1"/>
          <c:showCatName val="0"/>
          <c:showSerName val="0"/>
          <c:showPercent val="0"/>
          <c:showBubbleSize val="0"/>
        </c:dLbls>
        <c:gapWidth val="182"/>
        <c:axId val="1470976047"/>
        <c:axId val="1470976527"/>
      </c:barChart>
      <c:catAx>
        <c:axId val="14709760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b="1">
                    <a:solidFill>
                      <a:schemeClr val="tx1"/>
                    </a:solidFill>
                  </a:rPr>
                  <a:t>Region</a:t>
                </a:r>
              </a:p>
            </c:rich>
          </c:tx>
          <c:layout>
            <c:manualLayout>
              <c:xMode val="edge"/>
              <c:yMode val="edge"/>
              <c:x val="0.1423611111111111"/>
              <c:y val="0.4533938466025080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1470976527"/>
        <c:crosses val="autoZero"/>
        <c:auto val="1"/>
        <c:lblAlgn val="ctr"/>
        <c:lblOffset val="100"/>
        <c:noMultiLvlLbl val="0"/>
      </c:catAx>
      <c:valAx>
        <c:axId val="14709765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b="1">
                    <a:solidFill>
                      <a:schemeClr val="tx1"/>
                    </a:solidFill>
                  </a:rPr>
                  <a:t>Total 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097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[Shiva_C1_S11_Project_71.xlsx]Task-OB-2!PivotTable5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Monthly Sales Trend</a:t>
            </a:r>
          </a:p>
        </c:rich>
      </c:tx>
      <c:layout>
        <c:manualLayout>
          <c:xMode val="edge"/>
          <c:yMode val="edge"/>
          <c:x val="0.33246522309711285"/>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'Task-OB-2'!$B$49</c:f>
              <c:strCache>
                <c:ptCount val="1"/>
                <c:pt idx="0">
                  <c:v>Total</c:v>
                </c:pt>
              </c:strCache>
            </c:strRef>
          </c:tx>
          <c:spPr>
            <a:ln w="28575" cap="rnd">
              <a:solidFill>
                <a:schemeClr val="accent1"/>
              </a:solidFill>
              <a:round/>
            </a:ln>
            <a:effectLst/>
          </c:spPr>
          <c:marker>
            <c:symbol val="none"/>
          </c:marker>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3-A4A6-4F47-82AA-29BF23686818}"/>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4-A4A6-4F47-82AA-29BF23686818}"/>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5-A4A6-4F47-82AA-29BF23686818}"/>
              </c:ext>
            </c:extLst>
          </c:dPt>
          <c:dLbls>
            <c:dLbl>
              <c:idx val="3"/>
              <c:delete val="1"/>
              <c:extLst>
                <c:ext xmlns:c15="http://schemas.microsoft.com/office/drawing/2012/chart" uri="{CE6537A1-D6FC-4f65-9D91-7224C49458BB}"/>
                <c:ext xmlns:c16="http://schemas.microsoft.com/office/drawing/2014/chart" uri="{C3380CC4-5D6E-409C-BE32-E72D297353CC}">
                  <c16:uniqueId val="{00000003-A4A6-4F47-82AA-29BF23686818}"/>
                </c:ext>
              </c:extLst>
            </c:dLbl>
            <c:dLbl>
              <c:idx val="5"/>
              <c:delete val="1"/>
              <c:extLst>
                <c:ext xmlns:c15="http://schemas.microsoft.com/office/drawing/2012/chart" uri="{CE6537A1-D6FC-4f65-9D91-7224C49458BB}"/>
                <c:ext xmlns:c16="http://schemas.microsoft.com/office/drawing/2014/chart" uri="{C3380CC4-5D6E-409C-BE32-E72D297353CC}">
                  <c16:uniqueId val="{00000004-A4A6-4F47-82AA-29BF23686818}"/>
                </c:ext>
              </c:extLst>
            </c:dLbl>
            <c:dLbl>
              <c:idx val="6"/>
              <c:delete val="1"/>
              <c:extLst>
                <c:ext xmlns:c15="http://schemas.microsoft.com/office/drawing/2012/chart" uri="{CE6537A1-D6FC-4f65-9D91-7224C49458BB}"/>
                <c:ext xmlns:c16="http://schemas.microsoft.com/office/drawing/2014/chart" uri="{C3380CC4-5D6E-409C-BE32-E72D297353CC}">
                  <c16:uniqueId val="{00000005-A4A6-4F47-82AA-29BF2368681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'Task-OB-2'!$A$50:$A$59</c:f>
              <c:strCache>
                <c:ptCount val="9"/>
                <c:pt idx="0">
                  <c:v>Jan</c:v>
                </c:pt>
                <c:pt idx="1">
                  <c:v>Feb</c:v>
                </c:pt>
                <c:pt idx="2">
                  <c:v>Mar</c:v>
                </c:pt>
                <c:pt idx="3">
                  <c:v>Apr</c:v>
                </c:pt>
                <c:pt idx="4">
                  <c:v>May</c:v>
                </c:pt>
                <c:pt idx="5">
                  <c:v>Jun</c:v>
                </c:pt>
                <c:pt idx="6">
                  <c:v>Jul</c:v>
                </c:pt>
                <c:pt idx="7">
                  <c:v>Aug</c:v>
                </c:pt>
                <c:pt idx="8">
                  <c:v>Sep</c:v>
                </c:pt>
              </c:strCache>
            </c:strRef>
          </c:cat>
          <c:val>
            <c:numRef>
              <c:f>'Task-OB-2'!$B$50:$B$59</c:f>
              <c:numCache>
                <c:formatCode>0</c:formatCode>
                <c:ptCount val="9"/>
                <c:pt idx="0">
                  <c:v>191869.80000000002</c:v>
                </c:pt>
                <c:pt idx="1">
                  <c:v>271212.45</c:v>
                </c:pt>
                <c:pt idx="2">
                  <c:v>201005.55000000002</c:v>
                </c:pt>
                <c:pt idx="3">
                  <c:v>192429.25000000003</c:v>
                </c:pt>
                <c:pt idx="4">
                  <c:v>239586.05</c:v>
                </c:pt>
                <c:pt idx="5">
                  <c:v>229598.7</c:v>
                </c:pt>
                <c:pt idx="6">
                  <c:v>210271.24999999997</c:v>
                </c:pt>
                <c:pt idx="7">
                  <c:v>196318.69999999998</c:v>
                </c:pt>
                <c:pt idx="8">
                  <c:v>20071.3</c:v>
                </c:pt>
              </c:numCache>
            </c:numRef>
          </c:val>
          <c:smooth val="0"/>
          <c:extLst>
            <c:ext xmlns:c16="http://schemas.microsoft.com/office/drawing/2014/chart" uri="{C3380CC4-5D6E-409C-BE32-E72D297353CC}">
              <c16:uniqueId val="{00000000-A4A6-4F47-82AA-29BF23686818}"/>
            </c:ext>
          </c:extLst>
        </c:ser>
        <c:dLbls>
          <c:dLblPos val="t"/>
          <c:showLegendKey val="0"/>
          <c:showVal val="1"/>
          <c:showCatName val="0"/>
          <c:showSerName val="0"/>
          <c:showPercent val="0"/>
          <c:showBubbleSize val="0"/>
        </c:dLbls>
        <c:smooth val="0"/>
        <c:axId val="942372511"/>
        <c:axId val="942373471"/>
      </c:lineChart>
      <c:catAx>
        <c:axId val="942372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2373471"/>
        <c:crosses val="autoZero"/>
        <c:auto val="1"/>
        <c:lblAlgn val="ctr"/>
        <c:lblOffset val="100"/>
        <c:noMultiLvlLbl val="0"/>
      </c:catAx>
      <c:valAx>
        <c:axId val="942373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37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[Shiva_C1_S11_Project_71.xlsx]Task-OB-3!PivotTable1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Gender-wise Customer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'Task-OB-3'!$B$1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A717-4A41-9607-FFAAE63E84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A717-4A41-9607-FFAAE63E84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'Task-OB-3'!$A$2:$A$4</c:f>
              <c:strCache>
                <c:ptCount val="2"/>
                <c:pt idx="0">
                  <c:v>Female</c:v>
                </c:pt>
                <c:pt idx="1">
                  <c:v>Male</c:v>
                </c:pt>
              </c:strCache>
            </c:strRef>
          </c:cat>
          <c:val>
            <c:numRef>
              <c:f>'Task-OB-3'!$B$2:$B$4</c:f>
              <c:numCache>
                <c:formatCode>General</c:formatCode>
                <c:ptCount val="2"/>
                <c:pt idx="0">
                  <c:v>134</c:v>
                </c:pt>
                <c:pt idx="1">
                  <c:v>116</c:v>
                </c:pt>
              </c:numCache>
            </c:numRef>
          </c:val>
          <c:extLst>
            <c:ext xmlns:c16="http://schemas.microsoft.com/office/drawing/2014/chart" uri="{C3380CC4-5D6E-409C-BE32-E72D297353CC}">
              <c16:uniqueId val="{00000000-A717-4A41-9607-FFAAE63E8465}"/>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[Shiva_C1_S11_Project_71.xlsx]Task-OB-3!PivotTable2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Distribution</a:t>
            </a:r>
            <a:r>
              <a:rPr lang="en-IN" b="1" baseline="0">
                <a:solidFill>
                  <a:schemeClr val="tx1"/>
                </a:solidFill>
              </a:rPr>
              <a:t> of Payment Methods by Product Category</a:t>
            </a:r>
            <a:endParaRPr lang="en-IN" b="1">
              <a:solidFill>
                <a:schemeClr val="tx1"/>
              </a:solidFill>
            </a:endParaRPr>
          </a:p>
        </c:rich>
      </c:tx>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48381452318461"/>
          <c:y val="0.34240522018081071"/>
          <c:w val="0.63701618547681538"/>
          <c:h val="0.43915573053368329"/>
        </c:manualLayout>
      </c:layout>
      <c:barChart>
        <c:barDir val="col"/>
        <c:grouping val="stacked"/>
        <c:varyColors val="0"/>
        <c:ser>
          <c:idx val="0"/>
          <c:order val="0"/>
          <c:tx>
            <c:strRef>
              <c:f>'Task-OB-3'!$B$23:$B$24</c:f>
              <c:strCache>
                <c:ptCount val="1"/>
                <c:pt idx="0">
                  <c:v>Cash on Delivery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'Task-OB-3'!$A$25:$A$30</c:f>
              <c:strCache>
                <c:ptCount val="5"/>
                <c:pt idx="0">
                  <c:v>Beauty</c:v>
                </c:pt>
                <c:pt idx="1">
                  <c:v>Books</c:v>
                </c:pt>
                <c:pt idx="2">
                  <c:v>Electronics</c:v>
                </c:pt>
                <c:pt idx="3">
                  <c:v>Fashion</c:v>
                </c:pt>
                <c:pt idx="4">
                  <c:v>Home</c:v>
                </c:pt>
              </c:strCache>
            </c:strRef>
          </c:cat>
          <c:val>
            <c:numRef>
              <c:f>'Task-OB-3'!$B$25:$B$30</c:f>
              <c:numCache>
                <c:formatCode>General</c:formatCode>
                <c:ptCount val="5"/>
                <c:pt idx="0">
                  <c:v>16</c:v>
                </c:pt>
                <c:pt idx="1">
                  <c:v>10</c:v>
                </c:pt>
                <c:pt idx="2">
                  <c:v>9</c:v>
                </c:pt>
                <c:pt idx="3">
                  <c:v>8</c:v>
                </c:pt>
                <c:pt idx="4">
                  <c:v>17</c:v>
                </c:pt>
              </c:numCache>
            </c:numRef>
          </c:val>
          <c:extLst>
            <c:ext xmlns:c16="http://schemas.microsoft.com/office/drawing/2014/chart" uri="{C3380CC4-5D6E-409C-BE32-E72D297353CC}">
              <c16:uniqueId val="{00000000-7F74-47AC-B327-B27433683BB9}"/>
            </c:ext>
          </c:extLst>
        </c:ser>
        <c:ser>
          <c:idx val="1"/>
          <c:order val="1"/>
          <c:tx>
            <c:strRef>
              <c:f>'Task-OB-3'!$C$23:$C$24</c:f>
              <c:strCache>
                <c:ptCount val="1"/>
                <c:pt idx="0">
                  <c:v>Credit Card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'Task-OB-3'!$A$25:$A$30</c:f>
              <c:strCache>
                <c:ptCount val="5"/>
                <c:pt idx="0">
                  <c:v>Beauty</c:v>
                </c:pt>
                <c:pt idx="1">
                  <c:v>Books</c:v>
                </c:pt>
                <c:pt idx="2">
                  <c:v>Electronics</c:v>
                </c:pt>
                <c:pt idx="3">
                  <c:v>Fashion</c:v>
                </c:pt>
                <c:pt idx="4">
                  <c:v>Home</c:v>
                </c:pt>
              </c:strCache>
            </c:strRef>
          </c:cat>
          <c:val>
            <c:numRef>
              <c:f>'Task-OB-3'!$C$25:$C$30</c:f>
              <c:numCache>
                <c:formatCode>General</c:formatCode>
                <c:ptCount val="5"/>
                <c:pt idx="0">
                  <c:v>6</c:v>
                </c:pt>
                <c:pt idx="1">
                  <c:v>15</c:v>
                </c:pt>
                <c:pt idx="2">
                  <c:v>13</c:v>
                </c:pt>
                <c:pt idx="3">
                  <c:v>13</c:v>
                </c:pt>
                <c:pt idx="4">
                  <c:v>11</c:v>
                </c:pt>
              </c:numCache>
            </c:numRef>
          </c:val>
          <c:extLst>
            <c:ext xmlns:c16="http://schemas.microsoft.com/office/drawing/2014/chart" uri="{C3380CC4-5D6E-409C-BE32-E72D297353CC}">
              <c16:uniqueId val="{00000001-7F74-47AC-B327-B27433683BB9}"/>
            </c:ext>
          </c:extLst>
        </c:ser>
        <c:ser>
          <c:idx val="2"/>
          <c:order val="2"/>
          <c:tx>
            <c:strRef>
              <c:f>'Task-OB-3'!$D$23:$D$24</c:f>
              <c:strCache>
                <c:ptCount val="1"/>
                <c:pt idx="0">
                  <c:v>Debit Card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'Task-OB-3'!$A$25:$A$30</c:f>
              <c:strCache>
                <c:ptCount val="5"/>
                <c:pt idx="0">
                  <c:v>Beauty</c:v>
                </c:pt>
                <c:pt idx="1">
                  <c:v>Books</c:v>
                </c:pt>
                <c:pt idx="2">
                  <c:v>Electronics</c:v>
                </c:pt>
                <c:pt idx="3">
                  <c:v>Fashion</c:v>
                </c:pt>
                <c:pt idx="4">
                  <c:v>Home</c:v>
                </c:pt>
              </c:strCache>
            </c:strRef>
          </c:cat>
          <c:val>
            <c:numRef>
              <c:f>'Task-OB-3'!$D$25:$D$30</c:f>
              <c:numCache>
                <c:formatCode>General</c:formatCode>
                <c:ptCount val="5"/>
                <c:pt idx="0">
                  <c:v>13</c:v>
                </c:pt>
                <c:pt idx="1">
                  <c:v>12</c:v>
                </c:pt>
                <c:pt idx="2">
                  <c:v>16</c:v>
                </c:pt>
                <c:pt idx="3">
                  <c:v>17</c:v>
                </c:pt>
                <c:pt idx="4">
                  <c:v>12</c:v>
                </c:pt>
              </c:numCache>
            </c:numRef>
          </c:val>
          <c:extLst>
            <c:ext xmlns:c16="http://schemas.microsoft.com/office/drawing/2014/chart" uri="{C3380CC4-5D6E-409C-BE32-E72D297353CC}">
              <c16:uniqueId val="{00000002-7F74-47AC-B327-B27433683BB9}"/>
            </c:ext>
          </c:extLst>
        </c:ser>
        <c:ser>
          <c:idx val="3"/>
          <c:order val="3"/>
          <c:tx>
            <c:strRef>
              <c:f>'Task-OB-3'!$E$23:$E$24</c:f>
              <c:strCache>
                <c:ptCount val="1"/>
                <c:pt idx="0">
                  <c:v>UPI</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'Task-OB-3'!$A$25:$A$30</c:f>
              <c:strCache>
                <c:ptCount val="5"/>
                <c:pt idx="0">
                  <c:v>Beauty</c:v>
                </c:pt>
                <c:pt idx="1">
                  <c:v>Books</c:v>
                </c:pt>
                <c:pt idx="2">
                  <c:v>Electronics</c:v>
                </c:pt>
                <c:pt idx="3">
                  <c:v>Fashion</c:v>
                </c:pt>
                <c:pt idx="4">
                  <c:v>Home</c:v>
                </c:pt>
              </c:strCache>
            </c:strRef>
          </c:cat>
          <c:val>
            <c:numRef>
              <c:f>'Task-OB-3'!$E$25:$E$30</c:f>
              <c:numCache>
                <c:formatCode>General</c:formatCode>
                <c:ptCount val="5"/>
                <c:pt idx="0">
                  <c:v>11</c:v>
                </c:pt>
                <c:pt idx="1">
                  <c:v>14</c:v>
                </c:pt>
                <c:pt idx="2">
                  <c:v>13</c:v>
                </c:pt>
                <c:pt idx="3">
                  <c:v>10</c:v>
                </c:pt>
                <c:pt idx="4">
                  <c:v>14</c:v>
                </c:pt>
              </c:numCache>
            </c:numRef>
          </c:val>
          <c:extLst>
            <c:ext xmlns:c16="http://schemas.microsoft.com/office/drawing/2014/chart" uri="{C3380CC4-5D6E-409C-BE32-E72D297353CC}">
              <c16:uniqueId val="{00000003-7F74-47AC-B327-B27433683BB9}"/>
            </c:ext>
          </c:extLst>
        </c:ser>
        <c:dLbls>
          <c:dLblPos val="ctr"/>
          <c:showLegendKey val="0"/>
          <c:showVal val="1"/>
          <c:showCatName val="0"/>
          <c:showSerName val="0"/>
          <c:showPercent val="0"/>
          <c:showBubbleSize val="0"/>
        </c:dLbls>
        <c:gapWidth val="150"/>
        <c:overlap val="100"/>
        <c:axId val="584350512"/>
        <c:axId val="584349072"/>
      </c:barChart>
      <c:catAx>
        <c:axId val="584350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Product Category</a:t>
                </a:r>
              </a:p>
            </c:rich>
          </c:tx>
          <c:layout>
            <c:manualLayout>
              <c:xMode val="edge"/>
              <c:yMode val="edge"/>
              <c:x val="0.3286793525809274"/>
              <c:y val="0.87507144940215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4349072"/>
        <c:crosses val="autoZero"/>
        <c:auto val="1"/>
        <c:lblAlgn val="ctr"/>
        <c:lblOffset val="100"/>
        <c:noMultiLvlLbl val="0"/>
      </c:catAx>
      <c:valAx>
        <c:axId val="584349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Count of 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350512"/>
        <c:crosses val="autoZero"/>
        <c:crossBetween val="between"/>
      </c:valAx>
      <c:spPr>
        <a:noFill/>
        <a:ln>
          <a:noFill/>
        </a:ln>
        <a:effectLst/>
      </c:spPr>
    </c:plotArea>
    <c:legend>
      <c:legendPos val="r"/>
      <c:layout>
        <c:manualLayout>
          <c:xMode val="edge"/>
          <c:yMode val="edge"/>
          <c:x val="0.77916666666666667"/>
          <c:y val="0.41006926217556139"/>
          <c:w val="0.20416666666666664"/>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[Shiva_C1_S11_Project_71.xlsx]Task-OB-4!PivotTable12</c:name>
    <c:fmtId val="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Average Delivery Days by Region</a:t>
            </a:r>
          </a:p>
        </c:rich>
      </c:tx>
      <c:overlay val="0"/>
      <c:spPr>
        <a:solidFill>
          <a:schemeClr val="accent3">
            <a:lumMod val="60000"/>
            <a:lumOff val="40000"/>
          </a:schemeClr>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'Task-OB-4'!$B$1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'Task-OB-4'!$A$2:$A$6</c:f>
              <c:strCache>
                <c:ptCount val="4"/>
                <c:pt idx="0">
                  <c:v>South</c:v>
                </c:pt>
                <c:pt idx="1">
                  <c:v>East</c:v>
                </c:pt>
                <c:pt idx="2">
                  <c:v>North</c:v>
                </c:pt>
                <c:pt idx="3">
                  <c:v>West</c:v>
                </c:pt>
              </c:strCache>
            </c:strRef>
          </c:cat>
          <c:val>
            <c:numRef>
              <c:f>'Task-OB-4'!$B$2:$B$6</c:f>
              <c:numCache>
                <c:formatCode>0.0</c:formatCode>
                <c:ptCount val="4"/>
                <c:pt idx="0">
                  <c:v>4.34375</c:v>
                </c:pt>
                <c:pt idx="1">
                  <c:v>4.75</c:v>
                </c:pt>
                <c:pt idx="2">
                  <c:v>5.0263157894736841</c:v>
                </c:pt>
                <c:pt idx="3">
                  <c:v>5.0555555555555554</c:v>
                </c:pt>
              </c:numCache>
            </c:numRef>
          </c:val>
          <c:extLst>
            <c:ext xmlns:c16="http://schemas.microsoft.com/office/drawing/2014/chart" uri="{C3380CC4-5D6E-409C-BE32-E72D297353CC}">
              <c16:uniqueId val="{00000000-1390-47CA-B46A-66DB4542BE96}"/>
            </c:ext>
          </c:extLst>
        </c:ser>
        <c:dLbls>
          <c:dLblPos val="outEnd"/>
          <c:showLegendKey val="0"/>
          <c:showVal val="1"/>
          <c:showCatName val="0"/>
          <c:showSerName val="0"/>
          <c:showPercent val="0"/>
          <c:showBubbleSize val="0"/>
        </c:dLbls>
        <c:gapWidth val="182"/>
        <c:axId val="596185376"/>
        <c:axId val="596187296"/>
      </c:barChart>
      <c:catAx>
        <c:axId val="596185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Region</a:t>
                </a:r>
              </a:p>
            </c:rich>
          </c:tx>
          <c:layout>
            <c:manualLayout>
              <c:xMode val="edge"/>
              <c:yMode val="edge"/>
              <c:x val="6.7361111111111108E-2"/>
              <c:y val="0.3469123651210265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87296"/>
        <c:crosses val="autoZero"/>
        <c:auto val="1"/>
        <c:lblAlgn val="ctr"/>
        <c:lblOffset val="100"/>
        <c:noMultiLvlLbl val="0"/>
      </c:catAx>
      <c:valAx>
        <c:axId val="596187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Avg of Delivery 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8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[Shiva_C1_S11_Project_71.xlsx]Task-OB-4!PivotTable13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 Payment Method Preference</a:t>
            </a:r>
          </a:p>
        </c:rich>
      </c:tx>
      <c:overlay val="0"/>
      <c:spPr>
        <a:solidFill>
          <a:schemeClr val="bg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'Task-OB-4'!$P$34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FE-46B8-A6A6-C4B103DBC1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FE-46B8-A6A6-C4B103DBC1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FE-46B8-A6A6-C4B103DBC1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DFE-46B8-A6A6-C4B103DBC1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'Task-OB-4'!$O$35:$O$39</c:f>
              <c:strCache>
                <c:ptCount val="4"/>
                <c:pt idx="0">
                  <c:v>Cash on Delivery</c:v>
                </c:pt>
                <c:pt idx="1">
                  <c:v>Credit Card</c:v>
                </c:pt>
                <c:pt idx="2">
                  <c:v>Debit Card</c:v>
                </c:pt>
                <c:pt idx="3">
                  <c:v>UPI</c:v>
                </c:pt>
              </c:strCache>
            </c:strRef>
          </c:cat>
          <c:val>
            <c:numRef>
              <c:f>'Task-OB-4'!$P$35:$P$39</c:f>
              <c:numCache>
                <c:formatCode>General</c:formatCode>
                <c:ptCount val="4"/>
                <c:pt idx="0">
                  <c:v>60</c:v>
                </c:pt>
                <c:pt idx="1">
                  <c:v>58</c:v>
                </c:pt>
                <c:pt idx="2">
                  <c:v>70</c:v>
                </c:pt>
                <c:pt idx="3">
                  <c:v>62</c:v>
                </c:pt>
              </c:numCache>
            </c:numRef>
          </c:val>
          <c:extLst>
            <c:ext xmlns:c16="http://schemas.microsoft.com/office/drawing/2014/chart" uri="{C3380CC4-5D6E-409C-BE32-E72D297353CC}">
              <c16:uniqueId val="{00000000-014E-421B-B9C8-98DBB8415E9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[Shiva_C1_S11_Project_71.xlsx]Task-OB-2!PivotTable2</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b="1">
                <a:solidFill>
                  <a:sysClr val="windowText" lastClr="000000"/>
                </a:solidFill>
              </a:rPr>
              <a:t>Sales by Product Category</a:t>
            </a:r>
          </a:p>
        </c:rich>
      </c:tx>
      <c:overlay val="0"/>
      <c:spPr>
        <a:solidFill>
          <a:schemeClr val="bg2">
            <a:lumMod val="50000"/>
          </a:schemeClr>
        </a:solid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98186689319438"/>
          <c:y val="0.30286660255254355"/>
          <c:w val="0.66829396325459323"/>
          <c:h val="0.33584718576844563"/>
        </c:manualLayout>
      </c:layout>
      <c:barChart>
        <c:barDir val="col"/>
        <c:grouping val="clustered"/>
        <c:varyColors val="0"/>
        <c:ser>
          <c:idx val="0"/>
          <c:order val="0"/>
          <c:tx>
            <c:strRef>
              <c:f>'Task-OB-2'!$B$8</c:f>
              <c:strCache>
                <c:ptCount val="1"/>
                <c:pt idx="0">
                  <c:v>Sum of Total_Sales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'Task-OB-2'!$A$9:$A$14</c:f>
              <c:strCache>
                <c:ptCount val="5"/>
                <c:pt idx="0">
                  <c:v>Fashion</c:v>
                </c:pt>
                <c:pt idx="1">
                  <c:v>Books</c:v>
                </c:pt>
                <c:pt idx="2">
                  <c:v>Home</c:v>
                </c:pt>
                <c:pt idx="3">
                  <c:v>Electronics</c:v>
                </c:pt>
                <c:pt idx="4">
                  <c:v>Beauty</c:v>
                </c:pt>
              </c:strCache>
            </c:strRef>
          </c:cat>
          <c:val>
            <c:numRef>
              <c:f>'Task-OB-2'!$B$9:$B$14</c:f>
              <c:numCache>
                <c:formatCode>0</c:formatCode>
                <c:ptCount val="5"/>
                <c:pt idx="0">
                  <c:v>392283.94999999995</c:v>
                </c:pt>
                <c:pt idx="1">
                  <c:v>371705.40000000008</c:v>
                </c:pt>
                <c:pt idx="2">
                  <c:v>340431.84999999992</c:v>
                </c:pt>
                <c:pt idx="3">
                  <c:v>325609.7</c:v>
                </c:pt>
                <c:pt idx="4">
                  <c:v>322332.14999999997</c:v>
                </c:pt>
              </c:numCache>
            </c:numRef>
          </c:val>
          <c:extLst>
            <c:ext xmlns:c16="http://schemas.microsoft.com/office/drawing/2014/chart" uri="{C3380CC4-5D6E-409C-BE32-E72D297353CC}">
              <c16:uniqueId val="{00000000-0AD1-4388-A01E-275AC8DCA73A}"/>
            </c:ext>
          </c:extLst>
        </c:ser>
        <c:ser>
          <c:idx val="1"/>
          <c:order val="1"/>
          <c:tx>
            <c:strRef>
              <c:f>'Task-OB-2'!$C$8</c:f>
              <c:strCache>
                <c:ptCount val="1"/>
                <c:pt idx="0">
                  <c:v>Average of Total_Sales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'Task-OB-2'!$A$9:$A$14</c:f>
              <c:strCache>
                <c:ptCount val="5"/>
                <c:pt idx="0">
                  <c:v>Fashion</c:v>
                </c:pt>
                <c:pt idx="1">
                  <c:v>Books</c:v>
                </c:pt>
                <c:pt idx="2">
                  <c:v>Home</c:v>
                </c:pt>
                <c:pt idx="3">
                  <c:v>Electronics</c:v>
                </c:pt>
                <c:pt idx="4">
                  <c:v>Beauty</c:v>
                </c:pt>
              </c:strCache>
            </c:strRef>
          </c:cat>
          <c:val>
            <c:numRef>
              <c:f>'Task-OB-2'!$C$9:$C$14</c:f>
              <c:numCache>
                <c:formatCode>0</c:formatCode>
                <c:ptCount val="5"/>
                <c:pt idx="0">
                  <c:v>8172.5822916666657</c:v>
                </c:pt>
                <c:pt idx="1">
                  <c:v>7288.3411764705897</c:v>
                </c:pt>
                <c:pt idx="2">
                  <c:v>6304.293518518517</c:v>
                </c:pt>
                <c:pt idx="3">
                  <c:v>6384.5039215686274</c:v>
                </c:pt>
                <c:pt idx="4">
                  <c:v>7007.2206521739126</c:v>
                </c:pt>
              </c:numCache>
            </c:numRef>
          </c:val>
          <c:extLst>
            <c:ext xmlns:c16="http://schemas.microsoft.com/office/drawing/2014/chart" uri="{C3380CC4-5D6E-409C-BE32-E72D297353CC}">
              <c16:uniqueId val="{00000001-0AD1-4388-A01E-275AC8DCA73A}"/>
            </c:ext>
          </c:extLst>
        </c:ser>
        <c:dLbls>
          <c:dLblPos val="outEnd"/>
          <c:showLegendKey val="0"/>
          <c:showVal val="1"/>
          <c:showCatName val="0"/>
          <c:showSerName val="0"/>
          <c:showPercent val="0"/>
          <c:showBubbleSize val="0"/>
        </c:dLbls>
        <c:gapWidth val="219"/>
        <c:overlap val="-27"/>
        <c:axId val="1470933807"/>
        <c:axId val="1470931407"/>
      </c:barChart>
      <c:catAx>
        <c:axId val="1470933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b="1">
                    <a:solidFill>
                      <a:schemeClr val="tx1"/>
                    </a:solidFill>
                  </a:rPr>
                  <a:t>Product Category</a:t>
                </a:r>
              </a:p>
            </c:rich>
          </c:tx>
          <c:layout>
            <c:manualLayout>
              <c:xMode val="edge"/>
              <c:yMode val="edge"/>
              <c:x val="0.46442935258092738"/>
              <c:y val="0.8797010790317877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0931407"/>
        <c:crosses val="autoZero"/>
        <c:auto val="1"/>
        <c:lblAlgn val="ctr"/>
        <c:lblOffset val="100"/>
        <c:noMultiLvlLbl val="0"/>
      </c:catAx>
      <c:valAx>
        <c:axId val="1470931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b="1">
                    <a:solidFill>
                      <a:schemeClr val="tx1"/>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933807"/>
        <c:crosses val="autoZero"/>
        <c:crossBetween val="between"/>
      </c:valAx>
      <c:spPr>
        <a:noFill/>
        <a:ln>
          <a:noFill/>
        </a:ln>
        <a:effectLst/>
      </c:spPr>
    </c:plotArea>
    <c:legend>
      <c:legendPos val="r"/>
      <c:layout>
        <c:manualLayout>
          <c:xMode val="edge"/>
          <c:yMode val="edge"/>
          <c:x val="0.85450831146106732"/>
          <c:y val="0.35308599306766048"/>
          <c:w val="0.12882502187226597"/>
          <c:h val="0.625189337019895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[Shiva_C1_S11_Project_71.xlsx]Task-OB-2!PivotTable4</c:name>
    <c:fmtId val="4"/>
  </c:pivotSource>
  <c:chart>
    <c:title>
      <c:tx>
        <c:rich>
          <a:bodyPr rot="0" spcFirstLastPara="1" vertOverflow="ellipsis" vert="horz" wrap="square" anchor="ctr" anchorCtr="1"/>
          <a:lstStyle/>
          <a:p>
            <a:pPr>
              <a:defRPr sz="1400" b="1" i="0" u="none" strike="noStrike" kern="1200" spc="0" baseline="0">
                <a:solidFill>
                  <a:schemeClr val="bg2">
                    <a:lumMod val="25000"/>
                  </a:schemeClr>
                </a:solidFill>
                <a:latin typeface="+mn-lt"/>
                <a:ea typeface="+mn-ea"/>
                <a:cs typeface="+mn-cs"/>
              </a:defRPr>
            </a:pPr>
            <a:r>
              <a:rPr lang="en-US" b="1">
                <a:solidFill>
                  <a:sysClr val="windowText" lastClr="000000"/>
                </a:solidFill>
              </a:rPr>
              <a:t>Regional Sales Performance</a:t>
            </a:r>
          </a:p>
        </c:rich>
      </c:tx>
      <c:layout>
        <c:manualLayout>
          <c:xMode val="edge"/>
          <c:yMode val="edge"/>
          <c:x val="0.19313899974831911"/>
          <c:y val="0.15885103240421944"/>
        </c:manualLayout>
      </c:layout>
      <c:overlay val="0"/>
      <c:spPr>
        <a:solidFill>
          <a:schemeClr val="bg2">
            <a:lumMod val="75000"/>
          </a:schemeClr>
        </a:solidFill>
        <a:ln>
          <a:solidFill>
            <a:schemeClr val="bg2">
              <a:lumMod val="50000"/>
            </a:schemeClr>
          </a:solidFill>
        </a:ln>
        <a:effectLst/>
      </c:spPr>
      <c:txPr>
        <a:bodyPr rot="0" spcFirstLastPara="1" vertOverflow="ellipsis" vert="horz" wrap="square" anchor="ctr" anchorCtr="1"/>
        <a:lstStyle/>
        <a:p>
          <a:pPr>
            <a:defRPr sz="1400" b="1"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pivotFmt>
      <c:pivotFmt>
        <c:idx val="2"/>
        <c:spPr>
          <a:solidFill>
            <a:schemeClr val="tx2">
              <a:lumMod val="60000"/>
              <a:lumOff val="40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3">
              <a:lumMod val="75000"/>
            </a:schemeClr>
          </a:solidFill>
          <a:ln>
            <a:noFill/>
          </a:ln>
          <a:effectLst/>
        </c:spPr>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75000"/>
            </a:schemeClr>
          </a:solidFill>
          <a:ln>
            <a:noFill/>
          </a:ln>
          <a:effectLst/>
        </c:spPr>
      </c:pivotFmt>
      <c:pivotFmt>
        <c:idx val="7"/>
        <c:spPr>
          <a:solidFill>
            <a:schemeClr val="accent2">
              <a:lumMod val="60000"/>
              <a:lumOff val="40000"/>
            </a:schemeClr>
          </a:solidFill>
          <a:ln>
            <a:noFill/>
          </a:ln>
          <a:effectLst/>
        </c:spPr>
      </c:pivotFmt>
      <c:pivotFmt>
        <c:idx val="8"/>
        <c:spPr>
          <a:solidFill>
            <a:schemeClr val="tx2">
              <a:lumMod val="60000"/>
              <a:lumOff val="40000"/>
            </a:schemeClr>
          </a:solidFill>
          <a:ln>
            <a:noFill/>
          </a:ln>
          <a:effectLst/>
        </c:spPr>
      </c:pivotFmt>
      <c:pivotFmt>
        <c:idx val="9"/>
        <c:spPr>
          <a:solidFill>
            <a:schemeClr val="bg2">
              <a:lumMod val="50000"/>
            </a:schemeClr>
          </a:solidFill>
          <a:ln>
            <a:noFill/>
          </a:ln>
          <a:effectLst/>
        </c:spPr>
      </c:pivotFmt>
      <c:pivotFmt>
        <c:idx val="1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75000"/>
            </a:schemeClr>
          </a:solidFill>
          <a:ln>
            <a:noFill/>
          </a:ln>
          <a:effectLst/>
        </c:spPr>
      </c:pivotFmt>
      <c:pivotFmt>
        <c:idx val="12"/>
        <c:spPr>
          <a:solidFill>
            <a:schemeClr val="accent2">
              <a:lumMod val="60000"/>
              <a:lumOff val="40000"/>
            </a:schemeClr>
          </a:solidFill>
          <a:ln>
            <a:noFill/>
          </a:ln>
          <a:effectLst/>
        </c:spPr>
      </c:pivotFmt>
      <c:pivotFmt>
        <c:idx val="13"/>
        <c:spPr>
          <a:solidFill>
            <a:schemeClr val="tx2">
              <a:lumMod val="60000"/>
              <a:lumOff val="40000"/>
            </a:schemeClr>
          </a:solidFill>
          <a:ln>
            <a:noFill/>
          </a:ln>
          <a:effectLst/>
        </c:spPr>
      </c:pivotFmt>
      <c:pivotFmt>
        <c:idx val="14"/>
        <c:spPr>
          <a:solidFill>
            <a:schemeClr val="bg2">
              <a:lumMod val="50000"/>
            </a:schemeClr>
          </a:solidFill>
          <a:ln>
            <a:noFill/>
          </a:ln>
          <a:effectLst/>
        </c:spPr>
      </c:pivotFmt>
    </c:pivotFmts>
    <c:plotArea>
      <c:layout>
        <c:manualLayout>
          <c:layoutTarget val="inner"/>
          <c:xMode val="edge"/>
          <c:yMode val="edge"/>
          <c:x val="0.30344083701866031"/>
          <c:y val="0.37306417971517819"/>
          <c:w val="0.50751806709092873"/>
          <c:h val="0.35822031276508687"/>
        </c:manualLayout>
      </c:layout>
      <c:barChart>
        <c:barDir val="bar"/>
        <c:grouping val="clustered"/>
        <c:varyColors val="0"/>
        <c:ser>
          <c:idx val="0"/>
          <c:order val="0"/>
          <c:tx>
            <c:strRef>
              <c:f>'Task-OB-2'!$B$29</c:f>
              <c:strCache>
                <c:ptCount val="1"/>
                <c:pt idx="0">
                  <c:v>Total</c:v>
                </c:pt>
              </c:strCache>
            </c:strRef>
          </c:tx>
          <c:spPr>
            <a:solidFill>
              <a:srgbClr val="00B0F0"/>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1-44C6-4D1F-8C7D-CA50294075A7}"/>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44C6-4D1F-8C7D-CA50294075A7}"/>
              </c:ext>
            </c:extLst>
          </c:dPt>
          <c:dPt>
            <c:idx val="2"/>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5-44C6-4D1F-8C7D-CA50294075A7}"/>
              </c:ext>
            </c:extLst>
          </c:dPt>
          <c:dPt>
            <c:idx val="3"/>
            <c:invertIfNegative val="0"/>
            <c:bubble3D val="0"/>
            <c:spPr>
              <a:solidFill>
                <a:schemeClr val="bg2">
                  <a:lumMod val="50000"/>
                </a:schemeClr>
              </a:solidFill>
              <a:ln>
                <a:noFill/>
              </a:ln>
              <a:effectLst/>
            </c:spPr>
            <c:extLst>
              <c:ext xmlns:c16="http://schemas.microsoft.com/office/drawing/2014/chart" uri="{C3380CC4-5D6E-409C-BE32-E72D297353CC}">
                <c16:uniqueId val="{00000007-44C6-4D1F-8C7D-CA50294075A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'Task-OB-2'!$A$30:$A$34</c:f>
              <c:strCache>
                <c:ptCount val="4"/>
                <c:pt idx="0">
                  <c:v>North</c:v>
                </c:pt>
                <c:pt idx="1">
                  <c:v>South</c:v>
                </c:pt>
                <c:pt idx="2">
                  <c:v>West</c:v>
                </c:pt>
                <c:pt idx="3">
                  <c:v>East</c:v>
                </c:pt>
              </c:strCache>
            </c:strRef>
          </c:cat>
          <c:val>
            <c:numRef>
              <c:f>'Task-OB-2'!$B$30:$B$34</c:f>
              <c:numCache>
                <c:formatCode>0</c:formatCode>
                <c:ptCount val="4"/>
                <c:pt idx="0">
                  <c:v>545655.54999999993</c:v>
                </c:pt>
                <c:pt idx="1">
                  <c:v>504315.1</c:v>
                </c:pt>
                <c:pt idx="2">
                  <c:v>368350.25000000006</c:v>
                </c:pt>
                <c:pt idx="3">
                  <c:v>334042.14999999997</c:v>
                </c:pt>
              </c:numCache>
            </c:numRef>
          </c:val>
          <c:extLst>
            <c:ext xmlns:c16="http://schemas.microsoft.com/office/drawing/2014/chart" uri="{C3380CC4-5D6E-409C-BE32-E72D297353CC}">
              <c16:uniqueId val="{00000008-44C6-4D1F-8C7D-CA50294075A7}"/>
            </c:ext>
          </c:extLst>
        </c:ser>
        <c:dLbls>
          <c:dLblPos val="outEnd"/>
          <c:showLegendKey val="0"/>
          <c:showVal val="1"/>
          <c:showCatName val="0"/>
          <c:showSerName val="0"/>
          <c:showPercent val="0"/>
          <c:showBubbleSize val="0"/>
        </c:dLbls>
        <c:gapWidth val="182"/>
        <c:axId val="1470976047"/>
        <c:axId val="1470976527"/>
      </c:barChart>
      <c:catAx>
        <c:axId val="14709760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b="1">
                    <a:solidFill>
                      <a:schemeClr val="tx1"/>
                    </a:solidFill>
                  </a:rPr>
                  <a:t>Region</a:t>
                </a:r>
              </a:p>
            </c:rich>
          </c:tx>
          <c:layout>
            <c:manualLayout>
              <c:xMode val="edge"/>
              <c:yMode val="edge"/>
              <c:x val="2.8205934874579033E-2"/>
              <c:y val="0.313976627446283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1470976527"/>
        <c:crosses val="autoZero"/>
        <c:auto val="1"/>
        <c:lblAlgn val="ctr"/>
        <c:lblOffset val="100"/>
        <c:noMultiLvlLbl val="0"/>
      </c:catAx>
      <c:valAx>
        <c:axId val="14709765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b="1">
                    <a:solidFill>
                      <a:schemeClr val="tx1"/>
                    </a:solidFill>
                  </a:rPr>
                  <a:t>Total 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097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[Shiva_C1_S11_Project_71.xlsx]Task-OB-2!PivotTable5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Monthly Sales Trend</a:t>
            </a:r>
          </a:p>
        </c:rich>
      </c:tx>
      <c:layout>
        <c:manualLayout>
          <c:xMode val="edge"/>
          <c:yMode val="edge"/>
          <c:x val="0.33246522309711285"/>
          <c:y val="8.231262758821814E-2"/>
        </c:manualLayout>
      </c:layout>
      <c:overlay val="0"/>
      <c:spPr>
        <a:solidFill>
          <a:schemeClr val="tx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'Task-OB-2'!$B$49</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7-D0CD-4266-9459-08168B0D2507}"/>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1-D0CD-4266-9459-08168B0D2507}"/>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3-D0CD-4266-9459-08168B0D2507}"/>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5-D0CD-4266-9459-08168B0D2507}"/>
              </c:ext>
            </c:extLst>
          </c:dPt>
          <c:dLbls>
            <c:dLbl>
              <c:idx val="1"/>
              <c:delete val="1"/>
              <c:extLst>
                <c:ext xmlns:c15="http://schemas.microsoft.com/office/drawing/2012/chart" uri="{CE6537A1-D6FC-4f65-9D91-7224C49458BB}"/>
                <c:ext xmlns:c16="http://schemas.microsoft.com/office/drawing/2014/chart" uri="{C3380CC4-5D6E-409C-BE32-E72D297353CC}">
                  <c16:uniqueId val="{00000007-D0CD-4266-9459-08168B0D2507}"/>
                </c:ext>
              </c:extLst>
            </c:dLbl>
            <c:dLbl>
              <c:idx val="3"/>
              <c:delete val="1"/>
              <c:extLst>
                <c:ext xmlns:c15="http://schemas.microsoft.com/office/drawing/2012/chart" uri="{CE6537A1-D6FC-4f65-9D91-7224C49458BB}"/>
                <c:ext xmlns:c16="http://schemas.microsoft.com/office/drawing/2014/chart" uri="{C3380CC4-5D6E-409C-BE32-E72D297353CC}">
                  <c16:uniqueId val="{00000001-D0CD-4266-9459-08168B0D2507}"/>
                </c:ext>
              </c:extLst>
            </c:dLbl>
            <c:dLbl>
              <c:idx val="5"/>
              <c:delete val="1"/>
              <c:extLst>
                <c:ext xmlns:c15="http://schemas.microsoft.com/office/drawing/2012/chart" uri="{CE6537A1-D6FC-4f65-9D91-7224C49458BB}"/>
                <c:ext xmlns:c16="http://schemas.microsoft.com/office/drawing/2014/chart" uri="{C3380CC4-5D6E-409C-BE32-E72D297353CC}">
                  <c16:uniqueId val="{00000003-D0CD-4266-9459-08168B0D2507}"/>
                </c:ext>
              </c:extLst>
            </c:dLbl>
            <c:dLbl>
              <c:idx val="6"/>
              <c:delete val="1"/>
              <c:extLst>
                <c:ext xmlns:c15="http://schemas.microsoft.com/office/drawing/2012/chart" uri="{CE6537A1-D6FC-4f65-9D91-7224C49458BB}"/>
                <c:ext xmlns:c16="http://schemas.microsoft.com/office/drawing/2014/chart" uri="{C3380CC4-5D6E-409C-BE32-E72D297353CC}">
                  <c16:uniqueId val="{00000005-D0CD-4266-9459-08168B0D250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'Task-OB-2'!$A$50:$A$59</c:f>
              <c:strCache>
                <c:ptCount val="9"/>
                <c:pt idx="0">
                  <c:v>Jan</c:v>
                </c:pt>
                <c:pt idx="1">
                  <c:v>Feb</c:v>
                </c:pt>
                <c:pt idx="2">
                  <c:v>Mar</c:v>
                </c:pt>
                <c:pt idx="3">
                  <c:v>Apr</c:v>
                </c:pt>
                <c:pt idx="4">
                  <c:v>May</c:v>
                </c:pt>
                <c:pt idx="5">
                  <c:v>Jun</c:v>
                </c:pt>
                <c:pt idx="6">
                  <c:v>Jul</c:v>
                </c:pt>
                <c:pt idx="7">
                  <c:v>Aug</c:v>
                </c:pt>
                <c:pt idx="8">
                  <c:v>Sep</c:v>
                </c:pt>
              </c:strCache>
            </c:strRef>
          </c:cat>
          <c:val>
            <c:numRef>
              <c:f>'Task-OB-2'!$B$50:$B$59</c:f>
              <c:numCache>
                <c:formatCode>0</c:formatCode>
                <c:ptCount val="9"/>
                <c:pt idx="0">
                  <c:v>191869.80000000002</c:v>
                </c:pt>
                <c:pt idx="1">
                  <c:v>271212.45</c:v>
                </c:pt>
                <c:pt idx="2">
                  <c:v>201005.55000000002</c:v>
                </c:pt>
                <c:pt idx="3">
                  <c:v>192429.25000000003</c:v>
                </c:pt>
                <c:pt idx="4">
                  <c:v>239586.05</c:v>
                </c:pt>
                <c:pt idx="5">
                  <c:v>229598.7</c:v>
                </c:pt>
                <c:pt idx="6">
                  <c:v>210271.24999999997</c:v>
                </c:pt>
                <c:pt idx="7">
                  <c:v>196318.69999999998</c:v>
                </c:pt>
                <c:pt idx="8">
                  <c:v>20071.3</c:v>
                </c:pt>
              </c:numCache>
            </c:numRef>
          </c:val>
          <c:smooth val="0"/>
          <c:extLst>
            <c:ext xmlns:c16="http://schemas.microsoft.com/office/drawing/2014/chart" uri="{C3380CC4-5D6E-409C-BE32-E72D297353CC}">
              <c16:uniqueId val="{00000006-D0CD-4266-9459-08168B0D2507}"/>
            </c:ext>
          </c:extLst>
        </c:ser>
        <c:dLbls>
          <c:dLblPos val="t"/>
          <c:showLegendKey val="0"/>
          <c:showVal val="1"/>
          <c:showCatName val="0"/>
          <c:showSerName val="0"/>
          <c:showPercent val="0"/>
          <c:showBubbleSize val="0"/>
        </c:dLbls>
        <c:smooth val="0"/>
        <c:axId val="942372511"/>
        <c:axId val="942373471"/>
      </c:lineChart>
      <c:catAx>
        <c:axId val="942372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2373471"/>
        <c:crosses val="autoZero"/>
        <c:auto val="1"/>
        <c:lblAlgn val="ctr"/>
        <c:lblOffset val="100"/>
        <c:noMultiLvlLbl val="0"/>
      </c:catAx>
      <c:valAx>
        <c:axId val="942373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37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[Shiva_C1_S11_Project_71.xlsx]Task-OB-3!PivotTable1</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solidFill>
                  <a:schemeClr val="dk1"/>
                </a:solidFill>
                <a:latin typeface="+mn-lt"/>
                <a:ea typeface="+mn-ea"/>
                <a:cs typeface="+mn-cs"/>
              </a:rPr>
              <a:t>Gender-wise Customer Distribution</a:t>
            </a:r>
            <a:endParaRPr lang="en-US" b="1">
              <a:solidFill>
                <a:schemeClr val="tx1"/>
              </a:solidFill>
            </a:endParaRPr>
          </a:p>
        </c:rich>
      </c:tx>
      <c:overlay val="0"/>
      <c:spPr>
        <a:solidFill>
          <a:schemeClr val="bg2">
            <a:lumMod val="50000"/>
          </a:schemeClr>
        </a:solidFill>
        <a:ln w="25400" cap="flat" cmpd="sng" algn="ctr">
          <a:solidFill>
            <a:schemeClr val="dk1"/>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'Task-OB-3'!$B$1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4B-468F-9BB0-4A6D6192EC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4B-468F-9BB0-4A6D6192EC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'Task-OB-3'!$A$2:$A$4</c:f>
              <c:strCache>
                <c:ptCount val="2"/>
                <c:pt idx="0">
                  <c:v>Female</c:v>
                </c:pt>
                <c:pt idx="1">
                  <c:v>Male</c:v>
                </c:pt>
              </c:strCache>
            </c:strRef>
          </c:cat>
          <c:val>
            <c:numRef>
              <c:f>'Task-OB-3'!$B$2:$B$4</c:f>
              <c:numCache>
                <c:formatCode>General</c:formatCode>
                <c:ptCount val="2"/>
                <c:pt idx="0">
                  <c:v>134</c:v>
                </c:pt>
                <c:pt idx="1">
                  <c:v>116</c:v>
                </c:pt>
              </c:numCache>
            </c:numRef>
          </c:val>
          <c:extLst>
            <c:ext xmlns:c16="http://schemas.microsoft.com/office/drawing/2014/chart" uri="{C3380CC4-5D6E-409C-BE32-E72D297353CC}">
              <c16:uniqueId val="{00000004-B84B-468F-9BB0-4A6D6192ECAC}"/>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[Shiva_C1_S11_Project_71.xlsx]Task-OB-3!PivotTable2</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solidFill>
                  <a:schemeClr val="dk1"/>
                </a:solidFill>
                <a:latin typeface="+mn-lt"/>
                <a:ea typeface="+mn-ea"/>
                <a:cs typeface="+mn-cs"/>
              </a:rPr>
              <a:t>Distribution</a:t>
            </a:r>
            <a:r>
              <a:rPr lang="en-IN" b="1" baseline="0">
                <a:solidFill>
                  <a:schemeClr val="dk1"/>
                </a:solidFill>
                <a:latin typeface="+mn-lt"/>
                <a:ea typeface="+mn-ea"/>
                <a:cs typeface="+mn-cs"/>
              </a:rPr>
              <a:t> of Payment Methods by Product</a:t>
            </a:r>
            <a:endParaRPr lang="en-IN" b="1">
              <a:solidFill>
                <a:schemeClr val="tx1"/>
              </a:solidFill>
            </a:endParaRPr>
          </a:p>
        </c:rich>
      </c:tx>
      <c:layout>
        <c:manualLayout>
          <c:xMode val="edge"/>
          <c:yMode val="edge"/>
          <c:x val="0.20770131814091961"/>
          <c:y val="2.441555270707441E-2"/>
        </c:manualLayout>
      </c:layout>
      <c:overlay val="0"/>
      <c:spPr>
        <a:solidFill>
          <a:schemeClr val="bg2">
            <a:lumMod val="50000"/>
          </a:schemeClr>
        </a:solidFill>
        <a:ln w="25400" cap="flat" cmpd="sng" algn="ctr">
          <a:solidFill>
            <a:schemeClr val="dk1"/>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48381452318461"/>
          <c:y val="0.22612616736861382"/>
          <c:w val="0.63701618547681538"/>
          <c:h val="0.55543500376406441"/>
        </c:manualLayout>
      </c:layout>
      <c:barChart>
        <c:barDir val="col"/>
        <c:grouping val="stacked"/>
        <c:varyColors val="0"/>
        <c:ser>
          <c:idx val="0"/>
          <c:order val="0"/>
          <c:tx>
            <c:strRef>
              <c:f>'Task-OB-3'!$B$23:$B$24</c:f>
              <c:strCache>
                <c:ptCount val="1"/>
                <c:pt idx="0">
                  <c:v>Cash on Delivery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'Task-OB-3'!$A$25:$A$30</c:f>
              <c:strCache>
                <c:ptCount val="5"/>
                <c:pt idx="0">
                  <c:v>Beauty</c:v>
                </c:pt>
                <c:pt idx="1">
                  <c:v>Books</c:v>
                </c:pt>
                <c:pt idx="2">
                  <c:v>Electronics</c:v>
                </c:pt>
                <c:pt idx="3">
                  <c:v>Fashion</c:v>
                </c:pt>
                <c:pt idx="4">
                  <c:v>Home</c:v>
                </c:pt>
              </c:strCache>
            </c:strRef>
          </c:cat>
          <c:val>
            <c:numRef>
              <c:f>'Task-OB-3'!$B$25:$B$30</c:f>
              <c:numCache>
                <c:formatCode>General</c:formatCode>
                <c:ptCount val="5"/>
                <c:pt idx="0">
                  <c:v>16</c:v>
                </c:pt>
                <c:pt idx="1">
                  <c:v>10</c:v>
                </c:pt>
                <c:pt idx="2">
                  <c:v>9</c:v>
                </c:pt>
                <c:pt idx="3">
                  <c:v>8</c:v>
                </c:pt>
                <c:pt idx="4">
                  <c:v>17</c:v>
                </c:pt>
              </c:numCache>
            </c:numRef>
          </c:val>
          <c:extLst>
            <c:ext xmlns:c16="http://schemas.microsoft.com/office/drawing/2014/chart" uri="{C3380CC4-5D6E-409C-BE32-E72D297353CC}">
              <c16:uniqueId val="{00000000-A836-457C-A8EF-9C450F55CFD3}"/>
            </c:ext>
          </c:extLst>
        </c:ser>
        <c:ser>
          <c:idx val="1"/>
          <c:order val="1"/>
          <c:tx>
            <c:strRef>
              <c:f>'Task-OB-3'!$C$23:$C$24</c:f>
              <c:strCache>
                <c:ptCount val="1"/>
                <c:pt idx="0">
                  <c:v>Credit Card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'Task-OB-3'!$A$25:$A$30</c:f>
              <c:strCache>
                <c:ptCount val="5"/>
                <c:pt idx="0">
                  <c:v>Beauty</c:v>
                </c:pt>
                <c:pt idx="1">
                  <c:v>Books</c:v>
                </c:pt>
                <c:pt idx="2">
                  <c:v>Electronics</c:v>
                </c:pt>
                <c:pt idx="3">
                  <c:v>Fashion</c:v>
                </c:pt>
                <c:pt idx="4">
                  <c:v>Home</c:v>
                </c:pt>
              </c:strCache>
            </c:strRef>
          </c:cat>
          <c:val>
            <c:numRef>
              <c:f>'Task-OB-3'!$C$25:$C$30</c:f>
              <c:numCache>
                <c:formatCode>General</c:formatCode>
                <c:ptCount val="5"/>
                <c:pt idx="0">
                  <c:v>6</c:v>
                </c:pt>
                <c:pt idx="1">
                  <c:v>15</c:v>
                </c:pt>
                <c:pt idx="2">
                  <c:v>13</c:v>
                </c:pt>
                <c:pt idx="3">
                  <c:v>13</c:v>
                </c:pt>
                <c:pt idx="4">
                  <c:v>11</c:v>
                </c:pt>
              </c:numCache>
            </c:numRef>
          </c:val>
          <c:extLst>
            <c:ext xmlns:c16="http://schemas.microsoft.com/office/drawing/2014/chart" uri="{C3380CC4-5D6E-409C-BE32-E72D297353CC}">
              <c16:uniqueId val="{00000001-A836-457C-A8EF-9C450F55CFD3}"/>
            </c:ext>
          </c:extLst>
        </c:ser>
        <c:ser>
          <c:idx val="2"/>
          <c:order val="2"/>
          <c:tx>
            <c:strRef>
              <c:f>'Task-OB-3'!$D$23:$D$24</c:f>
              <c:strCache>
                <c:ptCount val="1"/>
                <c:pt idx="0">
                  <c:v>Debit Card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'Task-OB-3'!$A$25:$A$30</c:f>
              <c:strCache>
                <c:ptCount val="5"/>
                <c:pt idx="0">
                  <c:v>Beauty</c:v>
                </c:pt>
                <c:pt idx="1">
                  <c:v>Books</c:v>
                </c:pt>
                <c:pt idx="2">
                  <c:v>Electronics</c:v>
                </c:pt>
                <c:pt idx="3">
                  <c:v>Fashion</c:v>
                </c:pt>
                <c:pt idx="4">
                  <c:v>Home</c:v>
                </c:pt>
              </c:strCache>
            </c:strRef>
          </c:cat>
          <c:val>
            <c:numRef>
              <c:f>'Task-OB-3'!$D$25:$D$30</c:f>
              <c:numCache>
                <c:formatCode>General</c:formatCode>
                <c:ptCount val="5"/>
                <c:pt idx="0">
                  <c:v>13</c:v>
                </c:pt>
                <c:pt idx="1">
                  <c:v>12</c:v>
                </c:pt>
                <c:pt idx="2">
                  <c:v>16</c:v>
                </c:pt>
                <c:pt idx="3">
                  <c:v>17</c:v>
                </c:pt>
                <c:pt idx="4">
                  <c:v>12</c:v>
                </c:pt>
              </c:numCache>
            </c:numRef>
          </c:val>
          <c:extLst>
            <c:ext xmlns:c16="http://schemas.microsoft.com/office/drawing/2014/chart" uri="{C3380CC4-5D6E-409C-BE32-E72D297353CC}">
              <c16:uniqueId val="{00000002-A836-457C-A8EF-9C450F55CFD3}"/>
            </c:ext>
          </c:extLst>
        </c:ser>
        <c:ser>
          <c:idx val="3"/>
          <c:order val="3"/>
          <c:tx>
            <c:strRef>
              <c:f>'Task-OB-3'!$E$23:$E$24</c:f>
              <c:strCache>
                <c:ptCount val="1"/>
                <c:pt idx="0">
                  <c:v>UPI</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'Task-OB-3'!$A$25:$A$30</c:f>
              <c:strCache>
                <c:ptCount val="5"/>
                <c:pt idx="0">
                  <c:v>Beauty</c:v>
                </c:pt>
                <c:pt idx="1">
                  <c:v>Books</c:v>
                </c:pt>
                <c:pt idx="2">
                  <c:v>Electronics</c:v>
                </c:pt>
                <c:pt idx="3">
                  <c:v>Fashion</c:v>
                </c:pt>
                <c:pt idx="4">
                  <c:v>Home</c:v>
                </c:pt>
              </c:strCache>
            </c:strRef>
          </c:cat>
          <c:val>
            <c:numRef>
              <c:f>'Task-OB-3'!$E$25:$E$30</c:f>
              <c:numCache>
                <c:formatCode>General</c:formatCode>
                <c:ptCount val="5"/>
                <c:pt idx="0">
                  <c:v>11</c:v>
                </c:pt>
                <c:pt idx="1">
                  <c:v>14</c:v>
                </c:pt>
                <c:pt idx="2">
                  <c:v>13</c:v>
                </c:pt>
                <c:pt idx="3">
                  <c:v>10</c:v>
                </c:pt>
                <c:pt idx="4">
                  <c:v>14</c:v>
                </c:pt>
              </c:numCache>
            </c:numRef>
          </c:val>
          <c:extLst>
            <c:ext xmlns:c16="http://schemas.microsoft.com/office/drawing/2014/chart" uri="{C3380CC4-5D6E-409C-BE32-E72D297353CC}">
              <c16:uniqueId val="{00000003-A836-457C-A8EF-9C450F55CFD3}"/>
            </c:ext>
          </c:extLst>
        </c:ser>
        <c:dLbls>
          <c:dLblPos val="ctr"/>
          <c:showLegendKey val="0"/>
          <c:showVal val="1"/>
          <c:showCatName val="0"/>
          <c:showSerName val="0"/>
          <c:showPercent val="0"/>
          <c:showBubbleSize val="0"/>
        </c:dLbls>
        <c:gapWidth val="150"/>
        <c:overlap val="100"/>
        <c:axId val="584350512"/>
        <c:axId val="584349072"/>
      </c:barChart>
      <c:catAx>
        <c:axId val="584350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Product Category</a:t>
                </a:r>
              </a:p>
            </c:rich>
          </c:tx>
          <c:layout>
            <c:manualLayout>
              <c:xMode val="edge"/>
              <c:yMode val="edge"/>
              <c:x val="0.3286793525809274"/>
              <c:y val="0.87507144940215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4349072"/>
        <c:crosses val="autoZero"/>
        <c:auto val="1"/>
        <c:lblAlgn val="ctr"/>
        <c:lblOffset val="100"/>
        <c:noMultiLvlLbl val="0"/>
      </c:catAx>
      <c:valAx>
        <c:axId val="584349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Count of 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350512"/>
        <c:crosses val="autoZero"/>
        <c:crossBetween val="between"/>
      </c:valAx>
      <c:spPr>
        <a:noFill/>
        <a:ln>
          <a:noFill/>
        </a:ln>
        <a:effectLst/>
      </c:spPr>
    </c:plotArea>
    <c:legend>
      <c:legendPos val="r"/>
      <c:layout>
        <c:manualLayout>
          <c:xMode val="edge"/>
          <c:yMode val="edge"/>
          <c:x val="0.77916666666666667"/>
          <c:y val="0.41006926217556139"/>
          <c:w val="0.20416666666666664"/>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[Shiva_C1_S11_Project_71.xlsx]Task-OB-4!PivotTable12</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Average Delivery Days by Region</a:t>
            </a:r>
          </a:p>
        </c:rich>
      </c:tx>
      <c:overlay val="0"/>
      <c:spPr>
        <a:solidFill>
          <a:schemeClr val="bg2">
            <a:lumMod val="50000"/>
          </a:schemeClr>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'Task-OB-4'!$B$1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'Task-OB-4'!$A$2:$A$6</c:f>
              <c:strCache>
                <c:ptCount val="4"/>
                <c:pt idx="0">
                  <c:v>South</c:v>
                </c:pt>
                <c:pt idx="1">
                  <c:v>East</c:v>
                </c:pt>
                <c:pt idx="2">
                  <c:v>North</c:v>
                </c:pt>
                <c:pt idx="3">
                  <c:v>West</c:v>
                </c:pt>
              </c:strCache>
            </c:strRef>
          </c:cat>
          <c:val>
            <c:numRef>
              <c:f>'Task-OB-4'!$B$2:$B$6</c:f>
              <c:numCache>
                <c:formatCode>0.0</c:formatCode>
                <c:ptCount val="4"/>
                <c:pt idx="0">
                  <c:v>4.34375</c:v>
                </c:pt>
                <c:pt idx="1">
                  <c:v>4.75</c:v>
                </c:pt>
                <c:pt idx="2">
                  <c:v>5.0263157894736841</c:v>
                </c:pt>
                <c:pt idx="3">
                  <c:v>5.0555555555555554</c:v>
                </c:pt>
              </c:numCache>
            </c:numRef>
          </c:val>
          <c:extLst>
            <c:ext xmlns:c16="http://schemas.microsoft.com/office/drawing/2014/chart" uri="{C3380CC4-5D6E-409C-BE32-E72D297353CC}">
              <c16:uniqueId val="{00000000-BBAC-478A-8F16-80FD2B547D7C}"/>
            </c:ext>
          </c:extLst>
        </c:ser>
        <c:dLbls>
          <c:dLblPos val="outEnd"/>
          <c:showLegendKey val="0"/>
          <c:showVal val="1"/>
          <c:showCatName val="0"/>
          <c:showSerName val="0"/>
          <c:showPercent val="0"/>
          <c:showBubbleSize val="0"/>
        </c:dLbls>
        <c:gapWidth val="182"/>
        <c:axId val="596185376"/>
        <c:axId val="596187296"/>
      </c:barChart>
      <c:catAx>
        <c:axId val="596185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Region</a:t>
                </a:r>
              </a:p>
            </c:rich>
          </c:tx>
          <c:layout>
            <c:manualLayout>
              <c:xMode val="edge"/>
              <c:yMode val="edge"/>
              <c:x val="3.8351567023802588E-2"/>
              <c:y val="0.290862906824500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87296"/>
        <c:crosses val="autoZero"/>
        <c:auto val="1"/>
        <c:lblAlgn val="ctr"/>
        <c:lblOffset val="100"/>
        <c:noMultiLvlLbl val="0"/>
      </c:catAx>
      <c:valAx>
        <c:axId val="596187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Avg of Delivery 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8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[Shiva_C1_S11_Project_71.xlsx]Task-OB-4!PivotTable13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 Payment Method Preference</a:t>
            </a:r>
          </a:p>
        </c:rich>
      </c:tx>
      <c:layout>
        <c:manualLayout>
          <c:xMode val="edge"/>
          <c:yMode val="edge"/>
          <c:x val="0.14106837606837605"/>
          <c:y val="0.1163539501800193"/>
        </c:manualLayout>
      </c:layout>
      <c:overlay val="0"/>
      <c:spPr>
        <a:solidFill>
          <a:schemeClr val="bg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5314018440002689"/>
          <c:y val="0.28419781635102304"/>
          <c:w val="0.49799347196984994"/>
          <c:h val="0.71580218364897696"/>
        </c:manualLayout>
      </c:layout>
      <c:pieChart>
        <c:varyColors val="1"/>
        <c:ser>
          <c:idx val="0"/>
          <c:order val="0"/>
          <c:tx>
            <c:strRef>
              <c:f>'Task-OB-4'!$P$34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CD-42B4-B90C-8F3E948A37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CD-42B4-B90C-8F3E948A37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CD-42B4-B90C-8F3E948A37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ECD-42B4-B90C-8F3E948A37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'Task-OB-4'!$O$35:$O$39</c:f>
              <c:strCache>
                <c:ptCount val="4"/>
                <c:pt idx="0">
                  <c:v>Cash on Delivery</c:v>
                </c:pt>
                <c:pt idx="1">
                  <c:v>Credit Card</c:v>
                </c:pt>
                <c:pt idx="2">
                  <c:v>Debit Card</c:v>
                </c:pt>
                <c:pt idx="3">
                  <c:v>UPI</c:v>
                </c:pt>
              </c:strCache>
            </c:strRef>
          </c:cat>
          <c:val>
            <c:numRef>
              <c:f>'Task-OB-4'!$P$35:$P$39</c:f>
              <c:numCache>
                <c:formatCode>General</c:formatCode>
                <c:ptCount val="4"/>
                <c:pt idx="0">
                  <c:v>60</c:v>
                </c:pt>
                <c:pt idx="1">
                  <c:v>58</c:v>
                </c:pt>
                <c:pt idx="2">
                  <c:v>70</c:v>
                </c:pt>
                <c:pt idx="3">
                  <c:v>62</c:v>
                </c:pt>
              </c:numCache>
            </c:numRef>
          </c:val>
          <c:extLst>
            <c:ext xmlns:c16="http://schemas.microsoft.com/office/drawing/2014/chart" uri="{C3380CC4-5D6E-409C-BE32-E72D297353CC}">
              <c16:uniqueId val="{00000008-0ECD-42B4-B90C-8F3E948A37DC}"/>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Distribution of Order Delivery Time</cx:v>
        </cx:txData>
      </cx:tx>
      <cx:spPr>
        <a:solidFill>
          <a:schemeClr val="bg2">
            <a:lumMod val="50000"/>
          </a:schemeClr>
        </a:solidFill>
      </cx:spPr>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a:rPr>
            <a:t>Distribution of Order Delivery Time</a:t>
          </a:r>
        </a:p>
      </cx:txPr>
    </cx:title>
    <cx:plotArea>
      <cx:plotAreaRegion>
        <cx:series layoutId="boxWhisker" uniqueId="{E49B3C94-C75A-44F6-9971-1AD2968B3258}">
          <cx:tx>
            <cx:txData>
              <cx:f>_xlchart.v1.0</cx:f>
              <cx:v>Delivery_Days</cx:v>
            </cx:txData>
          </cx:tx>
          <cx:data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a:endParaRPr>
              </a:p>
            </cx:txPr>
            <cx:visibility seriesName="0" categoryName="0" value="1"/>
          </cx:dataLabels>
          <cx:dataId val="0"/>
          <cx:layoutPr>
            <cx:visibility meanLine="0" meanMarker="1" nonoutliers="0" outliers="1"/>
            <cx:statistics quartileMethod="exclusive"/>
          </cx:layoutPr>
        </cx:series>
      </cx:plotAreaRegion>
      <cx:axis id="0" hidden="1">
        <cx:catScaling gapWidth="1"/>
        <cx:tickLabels/>
      </cx:axis>
      <cx:axis id="1">
        <cx:valScaling/>
        <cx:title>
          <cx:tx>
            <cx:txData>
              <cx:v>Number of Days</cx:v>
            </cx:txData>
          </cx:tx>
          <cx:txPr>
            <a:bodyPr spcFirstLastPara="1" vertOverflow="ellipsis" horzOverflow="overflow" wrap="square" lIns="0" tIns="0" rIns="0" bIns="0" anchor="ctr" anchorCtr="1"/>
            <a:lstStyle/>
            <a:p>
              <a:pPr algn="ctr" rtl="0">
                <a:defRPr/>
              </a:pPr>
              <a:r>
                <a:rPr lang="en-US" sz="900" b="1" i="0" u="none" strike="noStrike" baseline="0">
                  <a:solidFill>
                    <a:schemeClr val="tx1"/>
                  </a:solidFill>
                  <a:latin typeface="Calibri"/>
                </a:rPr>
                <a:t>Number of Days</a:t>
              </a:r>
            </a:p>
          </cx:txPr>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Distribution of Order Delivery Time</cx:v>
        </cx:txData>
      </cx:tx>
      <cx:spPr>
        <a:solidFill>
          <a:schemeClr val="accent3">
            <a:lumMod val="60000"/>
            <a:lumOff val="40000"/>
          </a:schemeClr>
        </a:solidFill>
      </cx:spPr>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a:rPr>
            <a:t>Distribution of Order Delivery Time</a:t>
          </a:r>
        </a:p>
      </cx:txPr>
    </cx:title>
    <cx:plotArea>
      <cx:plotAreaRegion>
        <cx:series layoutId="boxWhisker" uniqueId="{E49B3C94-C75A-44F6-9971-1AD2968B3258}">
          <cx:tx>
            <cx:txData>
              <cx:f>_xlchart.v1.2</cx:f>
              <cx:v>Delivery_Days</cx:v>
            </cx:txData>
          </cx:tx>
          <cx:data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a:endParaRPr>
              </a:p>
            </cx:txPr>
            <cx:visibility seriesName="0" categoryName="0" value="1"/>
          </cx:dataLabels>
          <cx:dataId val="0"/>
          <cx:layoutPr>
            <cx:visibility meanLine="0" meanMarker="1" nonoutliers="0" outliers="1"/>
            <cx:statistics quartileMethod="exclusive"/>
          </cx:layoutPr>
        </cx:series>
      </cx:plotAreaRegion>
      <cx:axis id="0" hidden="1">
        <cx:catScaling gapWidth="1"/>
        <cx:tickLabels/>
      </cx:axis>
      <cx:axis id="1">
        <cx:valScaling/>
        <cx:title>
          <cx:tx>
            <cx:txData>
              <cx:v>Number of Days</cx:v>
            </cx:txData>
          </cx:tx>
          <cx:txPr>
            <a:bodyPr spcFirstLastPara="1" vertOverflow="ellipsis" horzOverflow="overflow" wrap="square" lIns="0" tIns="0" rIns="0" bIns="0" anchor="ctr" anchorCtr="1"/>
            <a:lstStyle/>
            <a:p>
              <a:pPr algn="ctr" rtl="0">
                <a:defRPr/>
              </a:pPr>
              <a:r>
                <a:rPr lang="en-US" sz="900" b="1" i="0" u="none" strike="noStrike" baseline="0">
                  <a:solidFill>
                    <a:schemeClr val="tx1"/>
                  </a:solidFill>
                  <a:latin typeface="Calibri"/>
                </a:rPr>
                <a:t>Number of Days</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microsoft.com/office/2014/relationships/chartEx" Target="../charts/chartEx1.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0.xml"/><Relationship Id="rId7" Type="http://schemas.microsoft.com/office/2014/relationships/chartEx" Target="../charts/chartEx2.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18</xdr:col>
      <xdr:colOff>45720</xdr:colOff>
      <xdr:row>1</xdr:row>
      <xdr:rowOff>22860</xdr:rowOff>
    </xdr:from>
    <xdr:to>
      <xdr:col>25</xdr:col>
      <xdr:colOff>53340</xdr:colOff>
      <xdr:row>11</xdr:row>
      <xdr:rowOff>22860</xdr:rowOff>
    </xdr:to>
    <xdr:sp macro="" textlink="">
      <xdr:nvSpPr>
        <xdr:cNvPr id="2" name="Rectangle 1">
          <a:extLst>
            <a:ext uri="{FF2B5EF4-FFF2-40B4-BE49-F238E27FC236}">
              <a16:creationId xmlns:a16="http://schemas.microsoft.com/office/drawing/2014/main" id="{850E38A2-BB0D-4484-3291-389ED5E97C64}"/>
            </a:ext>
          </a:extLst>
        </xdr:cNvPr>
        <xdr:cNvSpPr/>
      </xdr:nvSpPr>
      <xdr:spPr>
        <a:xfrm>
          <a:off x="12801600" y="205740"/>
          <a:ext cx="4274820" cy="1828800"/>
        </a:xfrm>
        <a:prstGeom prst="rect">
          <a:avLst/>
        </a:prstGeom>
        <a:solidFill>
          <a:schemeClr val="accent2">
            <a:lumMod val="40000"/>
            <a:lumOff val="6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N" sz="1200" b="1"/>
            <a:t>OBJECTIVE 1: Data Cleaning &amp; Preparation</a:t>
          </a:r>
        </a:p>
        <a:p>
          <a:endParaRPr lang="en-IN" sz="1200" b="1"/>
        </a:p>
        <a:p>
          <a:r>
            <a:rPr lang="en-IN" sz="1200" b="1"/>
            <a:t>Tasks</a:t>
          </a:r>
        </a:p>
        <a:p>
          <a:endParaRPr lang="en-IN" sz="1200" b="1"/>
        </a:p>
        <a:p>
          <a:r>
            <a:rPr lang="en-IN" sz="1200" baseline="0"/>
            <a:t>a) </a:t>
          </a:r>
          <a:r>
            <a:rPr lang="en-IN" sz="1200"/>
            <a:t>Identify missing values</a:t>
          </a:r>
        </a:p>
        <a:p>
          <a:r>
            <a:rPr lang="en-IN" sz="1200"/>
            <a:t>b) Handle missing Discount_%</a:t>
          </a:r>
        </a:p>
        <a:p>
          <a:r>
            <a:rPr lang="en-IN" sz="1200"/>
            <a:t>c)</a:t>
          </a:r>
          <a:r>
            <a:rPr lang="en-IN" sz="1200" baseline="0"/>
            <a:t> </a:t>
          </a:r>
          <a:r>
            <a:rPr lang="en-IN" sz="1200"/>
            <a:t>Remove duplicate records</a:t>
          </a:r>
        </a:p>
        <a:p>
          <a:r>
            <a:rPr lang="en-IN" sz="1200"/>
            <a:t>d) Standardize data types</a:t>
          </a:r>
        </a:p>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449580</xdr:colOff>
      <xdr:row>0</xdr:row>
      <xdr:rowOff>99060</xdr:rowOff>
    </xdr:from>
    <xdr:to>
      <xdr:col>21</xdr:col>
      <xdr:colOff>365760</xdr:colOff>
      <xdr:row>11</xdr:row>
      <xdr:rowOff>22860</xdr:rowOff>
    </xdr:to>
    <xdr:sp macro="" textlink="">
      <xdr:nvSpPr>
        <xdr:cNvPr id="2" name="Rectangle 1">
          <a:extLst>
            <a:ext uri="{FF2B5EF4-FFF2-40B4-BE49-F238E27FC236}">
              <a16:creationId xmlns:a16="http://schemas.microsoft.com/office/drawing/2014/main" id="{F461565E-2772-8F70-BD30-F7E0495FC9B3}"/>
            </a:ext>
          </a:extLst>
        </xdr:cNvPr>
        <xdr:cNvSpPr/>
      </xdr:nvSpPr>
      <xdr:spPr>
        <a:xfrm>
          <a:off x="10447020" y="99060"/>
          <a:ext cx="4183380" cy="1950720"/>
        </a:xfrm>
        <a:prstGeom prst="rect">
          <a:avLst/>
        </a:prstGeom>
        <a:solidFill>
          <a:schemeClr val="accent2">
            <a:lumMod val="40000"/>
            <a:lumOff val="6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t>OBJECTIVE 2: Sales Performance Analysis (Central Tendency)</a:t>
          </a:r>
        </a:p>
        <a:p>
          <a:pPr algn="l"/>
          <a:endParaRPr lang="en-IN" sz="1200" b="1"/>
        </a:p>
        <a:p>
          <a:r>
            <a:rPr lang="en-IN" sz="1200" b="1"/>
            <a:t>Tasks</a:t>
          </a:r>
        </a:p>
        <a:p>
          <a:endParaRPr lang="en-IN" b="1"/>
        </a:p>
        <a:p>
          <a:r>
            <a:rPr lang="en-IN" sz="1200"/>
            <a:t>a) Calculate Central</a:t>
          </a:r>
          <a:r>
            <a:rPr lang="en-IN" sz="1200" baseline="0"/>
            <a:t> tendency of Mean and Median of Total </a:t>
          </a:r>
        </a:p>
        <a:p>
          <a:r>
            <a:rPr lang="en-IN" sz="1200" baseline="0"/>
            <a:t>     Sales.</a:t>
          </a:r>
          <a:endParaRPr lang="en-IN" sz="1200"/>
        </a:p>
        <a:p>
          <a:r>
            <a:rPr lang="en-IN" sz="1200"/>
            <a:t>b) Identify total</a:t>
          </a:r>
          <a:r>
            <a:rPr lang="en-IN" sz="1200" baseline="0"/>
            <a:t> sales and average sales of a </a:t>
          </a:r>
          <a:r>
            <a:rPr lang="en-IN" sz="1200"/>
            <a:t>top-performing </a:t>
          </a:r>
        </a:p>
        <a:p>
          <a:r>
            <a:rPr lang="en-IN" sz="1200"/>
            <a:t>     category.</a:t>
          </a:r>
        </a:p>
        <a:p>
          <a:r>
            <a:rPr lang="en-IN" sz="1200"/>
            <a:t>c)</a:t>
          </a:r>
          <a:r>
            <a:rPr lang="en-IN" sz="1200" baseline="0"/>
            <a:t> </a:t>
          </a:r>
          <a:r>
            <a:rPr lang="en-IN" sz="1200"/>
            <a:t>Identify low-performing region sales.</a:t>
          </a:r>
        </a:p>
        <a:p>
          <a:r>
            <a:rPr lang="en-IN" sz="1200"/>
            <a:t>d) Find the monthly</a:t>
          </a:r>
          <a:r>
            <a:rPr lang="en-IN" sz="1200" baseline="0"/>
            <a:t> trend of a total sales ?</a:t>
          </a:r>
          <a:endParaRPr lang="en-IN" sz="1200"/>
        </a:p>
        <a:p>
          <a:pPr algn="l"/>
          <a:endParaRPr lang="en-IN" sz="1100" b="1"/>
        </a:p>
      </xdr:txBody>
    </xdr:sp>
    <xdr:clientData/>
  </xdr:twoCellAnchor>
  <xdr:twoCellAnchor>
    <xdr:from>
      <xdr:col>4</xdr:col>
      <xdr:colOff>7620</xdr:colOff>
      <xdr:row>7</xdr:row>
      <xdr:rowOff>11430</xdr:rowOff>
    </xdr:from>
    <xdr:to>
      <xdr:col>11</xdr:col>
      <xdr:colOff>312420</xdr:colOff>
      <xdr:row>22</xdr:row>
      <xdr:rowOff>11430</xdr:rowOff>
    </xdr:to>
    <xdr:graphicFrame macro="">
      <xdr:nvGraphicFramePr>
        <xdr:cNvPr id="3" name="Chart 2">
          <a:extLst>
            <a:ext uri="{FF2B5EF4-FFF2-40B4-BE49-F238E27FC236}">
              <a16:creationId xmlns:a16="http://schemas.microsoft.com/office/drawing/2014/main" id="{F4A0FCE2-7E1F-0BE1-7BAA-C633B3DDA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xdr:colOff>
      <xdr:row>28</xdr:row>
      <xdr:rowOff>11430</xdr:rowOff>
    </xdr:from>
    <xdr:to>
      <xdr:col>11</xdr:col>
      <xdr:colOff>327660</xdr:colOff>
      <xdr:row>43</xdr:row>
      <xdr:rowOff>11430</xdr:rowOff>
    </xdr:to>
    <xdr:graphicFrame macro="">
      <xdr:nvGraphicFramePr>
        <xdr:cNvPr id="4" name="Chart 3">
          <a:extLst>
            <a:ext uri="{FF2B5EF4-FFF2-40B4-BE49-F238E27FC236}">
              <a16:creationId xmlns:a16="http://schemas.microsoft.com/office/drawing/2014/main" id="{1CEBE42C-AD3E-A8C6-BEEA-307A0058F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15240</xdr:colOff>
      <xdr:row>51</xdr:row>
      <xdr:rowOff>3810</xdr:rowOff>
    </xdr:from>
    <xdr:to>
      <xdr:col>11</xdr:col>
      <xdr:colOff>320040</xdr:colOff>
      <xdr:row>66</xdr:row>
      <xdr:rowOff>3810</xdr:rowOff>
    </xdr:to>
    <xdr:graphicFrame macro="">
      <xdr:nvGraphicFramePr>
        <xdr:cNvPr id="6" name="Chart 5">
          <a:extLst>
            <a:ext uri="{FF2B5EF4-FFF2-40B4-BE49-F238E27FC236}">
              <a16:creationId xmlns:a16="http://schemas.microsoft.com/office/drawing/2014/main" id="{382AC449-6AD3-0837-0D02-D294CF14F6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129540</xdr:colOff>
      <xdr:row>27</xdr:row>
      <xdr:rowOff>121920</xdr:rowOff>
    </xdr:from>
    <xdr:to>
      <xdr:col>25</xdr:col>
      <xdr:colOff>0</xdr:colOff>
      <xdr:row>43</xdr:row>
      <xdr:rowOff>45720</xdr:rowOff>
    </xdr:to>
    <xdr:sp macro="" textlink="">
      <xdr:nvSpPr>
        <xdr:cNvPr id="5" name="Rectangle 4">
          <a:extLst>
            <a:ext uri="{FF2B5EF4-FFF2-40B4-BE49-F238E27FC236}">
              <a16:creationId xmlns:a16="http://schemas.microsoft.com/office/drawing/2014/main" id="{CA73EF02-4A25-F2E8-63B5-1B216BF3CB07}"/>
            </a:ext>
          </a:extLst>
        </xdr:cNvPr>
        <xdr:cNvSpPr/>
      </xdr:nvSpPr>
      <xdr:spPr>
        <a:xfrm>
          <a:off x="10736580" y="5090160"/>
          <a:ext cx="5966460" cy="284988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200" b="1"/>
            <a:t>Key Observations:</a:t>
          </a:r>
        </a:p>
        <a:p>
          <a:pPr algn="l"/>
          <a:endParaRPr lang="en-IN" sz="1200" b="1"/>
        </a:p>
        <a:p>
          <a:r>
            <a:rPr lang="en-IN" sz="1200"/>
            <a:t>a) The</a:t>
          </a:r>
          <a:r>
            <a:rPr lang="en-IN" sz="1200" baseline="0"/>
            <a:t> </a:t>
          </a:r>
          <a:r>
            <a:rPr lang="en-IN" sz="1200"/>
            <a:t>Column chart compares total sales across product categories</a:t>
          </a:r>
          <a:r>
            <a:rPr lang="en-IN" sz="1200" b="0"/>
            <a:t>.</a:t>
          </a:r>
          <a:r>
            <a:rPr lang="en-IN" sz="1200" b="0" baseline="0"/>
            <a:t> </a:t>
          </a:r>
          <a:r>
            <a:rPr lang="en-IN" sz="1200" b="0"/>
            <a:t>Electronics and Fashion </a:t>
          </a:r>
        </a:p>
        <a:p>
          <a:r>
            <a:rPr lang="en-IN" sz="1200" b="0"/>
            <a:t>     contribute the highest sales, indicating strong customer demand.</a:t>
          </a:r>
          <a:r>
            <a:rPr lang="en-IN" sz="1200" b="0" baseline="0"/>
            <a:t> </a:t>
          </a:r>
          <a:r>
            <a:rPr lang="en-IN" sz="1200" b="0"/>
            <a:t>Books and Beauty </a:t>
          </a:r>
          <a:r>
            <a:rPr lang="en-IN" sz="1200"/>
            <a:t>show </a:t>
          </a:r>
        </a:p>
        <a:p>
          <a:r>
            <a:rPr lang="en-IN" sz="1200"/>
            <a:t>     relatively lower sales, suggesting potential areas for promotional focus or product </a:t>
          </a:r>
        </a:p>
        <a:p>
          <a:r>
            <a:rPr lang="en-IN" sz="1200"/>
            <a:t>     expansion.</a:t>
          </a:r>
        </a:p>
        <a:p>
          <a:r>
            <a:rPr lang="en-IN" sz="1200"/>
            <a:t>b) This bar chart highlights sales performance across regions.</a:t>
          </a:r>
          <a:r>
            <a:rPr lang="en-IN" sz="1200" baseline="0"/>
            <a:t> </a:t>
          </a:r>
          <a:r>
            <a:rPr lang="en-IN" sz="1200"/>
            <a:t>The </a:t>
          </a:r>
          <a:r>
            <a:rPr lang="en-IN" sz="1200" b="0"/>
            <a:t>South region records the  </a:t>
          </a:r>
        </a:p>
        <a:p>
          <a:r>
            <a:rPr lang="en-IN" sz="1200" b="0"/>
            <a:t>     highest sales, making it the strongest market.</a:t>
          </a:r>
          <a:r>
            <a:rPr lang="en-IN" sz="1200" b="0" baseline="0"/>
            <a:t> </a:t>
          </a:r>
          <a:r>
            <a:rPr lang="en-IN" sz="1200" b="0"/>
            <a:t>North and West show </a:t>
          </a:r>
          <a:r>
            <a:rPr lang="en-IN" sz="1200"/>
            <a:t>moderate </a:t>
          </a:r>
        </a:p>
        <a:p>
          <a:r>
            <a:rPr lang="en-IN" sz="1200"/>
            <a:t>     performance.</a:t>
          </a:r>
          <a:r>
            <a:rPr lang="en-IN" sz="1200" baseline="0"/>
            <a:t> </a:t>
          </a:r>
          <a:r>
            <a:rPr lang="en-IN" sz="1200"/>
            <a:t>The </a:t>
          </a:r>
          <a:r>
            <a:rPr lang="en-IN" sz="1200" b="0"/>
            <a:t>East region </a:t>
          </a:r>
          <a:r>
            <a:rPr lang="en-IN" sz="1200"/>
            <a:t>contributes the least, indicating potential untapped market </a:t>
          </a:r>
        </a:p>
        <a:p>
          <a:r>
            <a:rPr lang="en-IN" sz="1200"/>
            <a:t>     opportunities.</a:t>
          </a:r>
          <a:br>
            <a:rPr lang="en-IN" sz="1200"/>
          </a:br>
          <a:r>
            <a:rPr lang="en-IN" sz="1200"/>
            <a:t>c)</a:t>
          </a:r>
          <a:r>
            <a:rPr lang="en-IN" sz="1200" baseline="0"/>
            <a:t> </a:t>
          </a:r>
          <a:r>
            <a:rPr lang="en-IN" sz="1200"/>
            <a:t>The monthly sales trend shows fluctuations across the year.</a:t>
          </a:r>
          <a:r>
            <a:rPr lang="en-IN" sz="1200" baseline="0"/>
            <a:t> </a:t>
          </a:r>
          <a:r>
            <a:rPr lang="en-IN" sz="1200"/>
            <a:t>Sales increase significantly </a:t>
          </a:r>
        </a:p>
        <a:p>
          <a:r>
            <a:rPr lang="en-IN" sz="1200"/>
            <a:t>     during </a:t>
          </a:r>
          <a:r>
            <a:rPr lang="en-IN" sz="1200" b="0"/>
            <a:t>february and may</a:t>
          </a:r>
          <a:r>
            <a:rPr lang="en-IN" sz="1200"/>
            <a:t>, indicating seasonal demand peaks.</a:t>
          </a:r>
          <a:r>
            <a:rPr lang="en-IN" sz="1200" baseline="0"/>
            <a:t> </a:t>
          </a:r>
          <a:r>
            <a:rPr lang="en-IN" sz="1200"/>
            <a:t>A slight decline is observed </a:t>
          </a:r>
        </a:p>
        <a:p>
          <a:r>
            <a:rPr lang="en-IN" sz="1200"/>
            <a:t>     in later months.</a:t>
          </a:r>
        </a:p>
        <a:p>
          <a:endParaRPr lang="en-IN" sz="1200"/>
        </a:p>
        <a:p>
          <a:endParaRPr lang="en-IN" sz="1200"/>
        </a:p>
        <a:p>
          <a:pPr algn="l"/>
          <a:endParaRPr lang="en-IN" sz="12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586740</xdr:colOff>
      <xdr:row>0</xdr:row>
      <xdr:rowOff>175260</xdr:rowOff>
    </xdr:from>
    <xdr:to>
      <xdr:col>20</xdr:col>
      <xdr:colOff>350520</xdr:colOff>
      <xdr:row>11</xdr:row>
      <xdr:rowOff>137160</xdr:rowOff>
    </xdr:to>
    <xdr:sp macro="" textlink="">
      <xdr:nvSpPr>
        <xdr:cNvPr id="2" name="Rectangle 1">
          <a:extLst>
            <a:ext uri="{FF2B5EF4-FFF2-40B4-BE49-F238E27FC236}">
              <a16:creationId xmlns:a16="http://schemas.microsoft.com/office/drawing/2014/main" id="{BDBBBDB2-F008-6253-B418-4A3713FD70CC}"/>
            </a:ext>
          </a:extLst>
        </xdr:cNvPr>
        <xdr:cNvSpPr/>
      </xdr:nvSpPr>
      <xdr:spPr>
        <a:xfrm>
          <a:off x="9989820" y="175260"/>
          <a:ext cx="4030980" cy="1973580"/>
        </a:xfrm>
        <a:prstGeom prst="rect">
          <a:avLst/>
        </a:prstGeom>
        <a:solidFill>
          <a:schemeClr val="accent2">
            <a:lumMod val="40000"/>
            <a:lumOff val="6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N" sz="1200" b="1"/>
            <a:t>OBJECTIVE 3: Customer Demographics Analysis</a:t>
          </a:r>
        </a:p>
        <a:p>
          <a:endParaRPr lang="en-IN" sz="1200" b="1"/>
        </a:p>
        <a:p>
          <a:r>
            <a:rPr lang="en-IN" sz="1200" b="1"/>
            <a:t>Tasks</a:t>
          </a:r>
        </a:p>
        <a:p>
          <a:endParaRPr lang="en-IN" sz="1200" b="1"/>
        </a:p>
        <a:p>
          <a:r>
            <a:rPr lang="en-IN" sz="1200"/>
            <a:t>a) Count the</a:t>
          </a:r>
          <a:r>
            <a:rPr lang="en-IN" sz="1200" baseline="0"/>
            <a:t> </a:t>
          </a:r>
          <a:r>
            <a:rPr lang="en-IN" sz="1200"/>
            <a:t>Gender-wise purchase behavior?</a:t>
          </a:r>
        </a:p>
        <a:p>
          <a:r>
            <a:rPr lang="en-IN" sz="1200"/>
            <a:t>b)</a:t>
          </a:r>
          <a:r>
            <a:rPr lang="en-IN" sz="1200" baseline="0"/>
            <a:t> How does the distribution of payment methods vary across   </a:t>
          </a:r>
        </a:p>
        <a:p>
          <a:r>
            <a:rPr lang="en-IN" sz="1200" baseline="0"/>
            <a:t>    different product categories in the E-Commerce platform ?</a:t>
          </a:r>
          <a:r>
            <a:rPr lang="en-IN" sz="1200"/>
            <a:t> </a:t>
          </a:r>
        </a:p>
        <a:p>
          <a:pPr algn="l"/>
          <a:endParaRPr lang="en-IN" sz="1100"/>
        </a:p>
      </xdr:txBody>
    </xdr:sp>
    <xdr:clientData/>
  </xdr:twoCellAnchor>
  <xdr:twoCellAnchor>
    <xdr:from>
      <xdr:col>3</xdr:col>
      <xdr:colOff>510540</xdr:colOff>
      <xdr:row>0</xdr:row>
      <xdr:rowOff>49530</xdr:rowOff>
    </xdr:from>
    <xdr:to>
      <xdr:col>11</xdr:col>
      <xdr:colOff>205740</xdr:colOff>
      <xdr:row>15</xdr:row>
      <xdr:rowOff>49530</xdr:rowOff>
    </xdr:to>
    <xdr:graphicFrame macro="">
      <xdr:nvGraphicFramePr>
        <xdr:cNvPr id="3" name="Chart 2">
          <a:extLst>
            <a:ext uri="{FF2B5EF4-FFF2-40B4-BE49-F238E27FC236}">
              <a16:creationId xmlns:a16="http://schemas.microsoft.com/office/drawing/2014/main" id="{250C01F8-107B-0C34-71A9-B9A493011D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xdr:colOff>
      <xdr:row>22</xdr:row>
      <xdr:rowOff>3810</xdr:rowOff>
    </xdr:from>
    <xdr:to>
      <xdr:col>14</xdr:col>
      <xdr:colOff>289560</xdr:colOff>
      <xdr:row>37</xdr:row>
      <xdr:rowOff>3810</xdr:rowOff>
    </xdr:to>
    <xdr:graphicFrame macro="">
      <xdr:nvGraphicFramePr>
        <xdr:cNvPr id="6" name="Chart 5">
          <a:extLst>
            <a:ext uri="{FF2B5EF4-FFF2-40B4-BE49-F238E27FC236}">
              <a16:creationId xmlns:a16="http://schemas.microsoft.com/office/drawing/2014/main" id="{B3D9BF81-3A05-8599-46B6-8483562550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7620</xdr:colOff>
      <xdr:row>17</xdr:row>
      <xdr:rowOff>30480</xdr:rowOff>
    </xdr:from>
    <xdr:to>
      <xdr:col>25</xdr:col>
      <xdr:colOff>7620</xdr:colOff>
      <xdr:row>27</xdr:row>
      <xdr:rowOff>144780</xdr:rowOff>
    </xdr:to>
    <xdr:sp macro="" textlink="">
      <xdr:nvSpPr>
        <xdr:cNvPr id="4" name="Rectangle 3">
          <a:extLst>
            <a:ext uri="{FF2B5EF4-FFF2-40B4-BE49-F238E27FC236}">
              <a16:creationId xmlns:a16="http://schemas.microsoft.com/office/drawing/2014/main" id="{017DF119-03BA-90BB-48E9-A5CCF43270B8}"/>
            </a:ext>
          </a:extLst>
        </xdr:cNvPr>
        <xdr:cNvSpPr/>
      </xdr:nvSpPr>
      <xdr:spPr>
        <a:xfrm>
          <a:off x="11849100" y="3139440"/>
          <a:ext cx="4876800" cy="19431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r>
            <a:rPr lang="en-IN" sz="1200" b="1"/>
            <a:t>Key</a:t>
          </a:r>
          <a:r>
            <a:rPr lang="en-IN" sz="1200" b="1" baseline="0"/>
            <a:t> Observations:</a:t>
          </a:r>
        </a:p>
        <a:p>
          <a:endParaRPr lang="en-IN" sz="1200"/>
        </a:p>
        <a:p>
          <a:r>
            <a:rPr lang="en-IN" sz="1200"/>
            <a:t>a) </a:t>
          </a:r>
          <a:r>
            <a:rPr lang="en-IN" sz="1200" b="0"/>
            <a:t>This pie chart shows customer demographics by gender.</a:t>
          </a:r>
          <a:r>
            <a:rPr lang="en-IN" sz="1200" b="0" baseline="0"/>
            <a:t> </a:t>
          </a:r>
          <a:r>
            <a:rPr lang="en-IN" sz="1200" b="0"/>
            <a:t>Female </a:t>
          </a:r>
        </a:p>
        <a:p>
          <a:r>
            <a:rPr lang="en-IN" sz="1200" b="0"/>
            <a:t>     customers (54%) slightly dominate the customer base.</a:t>
          </a:r>
          <a:r>
            <a:rPr lang="en-IN" sz="1200" b="0" baseline="0"/>
            <a:t> </a:t>
          </a:r>
          <a:r>
            <a:rPr lang="en-IN" sz="1200" b="0"/>
            <a:t>Male customers  </a:t>
          </a:r>
        </a:p>
        <a:p>
          <a:r>
            <a:rPr lang="en-IN" sz="1200" b="0"/>
            <a:t>     (46%) also contribute significantly.</a:t>
          </a:r>
        </a:p>
        <a:p>
          <a:r>
            <a:rPr lang="en-IN" sz="1200" b="0"/>
            <a:t>b) This stacked bar chart shows how payment methods vary by product </a:t>
          </a:r>
        </a:p>
        <a:p>
          <a:r>
            <a:rPr lang="en-IN" sz="1200" b="0"/>
            <a:t>     category.</a:t>
          </a:r>
          <a:r>
            <a:rPr lang="en-IN" sz="1200" b="0" baseline="0"/>
            <a:t> </a:t>
          </a:r>
          <a:r>
            <a:rPr lang="en-IN" sz="1200" b="0"/>
            <a:t>UPI and Debit Cards are consistently preferred across most </a:t>
          </a:r>
        </a:p>
        <a:p>
          <a:r>
            <a:rPr lang="en-IN" sz="1200" b="0"/>
            <a:t>     categories.</a:t>
          </a:r>
          <a:r>
            <a:rPr lang="en-IN" sz="1200" b="0" baseline="0"/>
            <a:t> </a:t>
          </a:r>
          <a:r>
            <a:rPr lang="en-IN" sz="1200" b="0"/>
            <a:t>Cash on delivery remains relevant, especially for categories </a:t>
          </a:r>
        </a:p>
        <a:p>
          <a:r>
            <a:rPr lang="en-IN" sz="1200" b="0"/>
            <a:t>     like fashion and home.</a:t>
          </a:r>
        </a:p>
        <a:p>
          <a:endParaRPr lang="en-IN" sz="1200"/>
        </a:p>
        <a:p>
          <a:pPr algn="l"/>
          <a:endParaRPr lang="en-IN" sz="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243840</xdr:colOff>
      <xdr:row>1</xdr:row>
      <xdr:rowOff>129540</xdr:rowOff>
    </xdr:from>
    <xdr:to>
      <xdr:col>19</xdr:col>
      <xdr:colOff>548640</xdr:colOff>
      <xdr:row>12</xdr:row>
      <xdr:rowOff>144780</xdr:rowOff>
    </xdr:to>
    <xdr:sp macro="" textlink="">
      <xdr:nvSpPr>
        <xdr:cNvPr id="9" name="Rectangle 8">
          <a:extLst>
            <a:ext uri="{FF2B5EF4-FFF2-40B4-BE49-F238E27FC236}">
              <a16:creationId xmlns:a16="http://schemas.microsoft.com/office/drawing/2014/main" id="{43BD41CD-2C0A-C861-FC24-C0A2EEA87E3C}"/>
            </a:ext>
          </a:extLst>
        </xdr:cNvPr>
        <xdr:cNvSpPr/>
      </xdr:nvSpPr>
      <xdr:spPr>
        <a:xfrm>
          <a:off x="9852660" y="312420"/>
          <a:ext cx="4503420" cy="2026920"/>
        </a:xfrm>
        <a:prstGeom prst="rect">
          <a:avLst/>
        </a:prstGeom>
        <a:solidFill>
          <a:schemeClr val="accent2">
            <a:lumMod val="40000"/>
            <a:lumOff val="6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N" sz="1200" b="1"/>
            <a:t>OBJECTIVE 4: Order Delivery and Payment Analysis</a:t>
          </a:r>
        </a:p>
        <a:p>
          <a:endParaRPr lang="en-IN" sz="1200" b="1"/>
        </a:p>
        <a:p>
          <a:r>
            <a:rPr lang="en-IN" sz="1200" b="1"/>
            <a:t>Tasks:</a:t>
          </a:r>
          <a:endParaRPr lang="en-IN" sz="1200"/>
        </a:p>
        <a:p>
          <a:endParaRPr lang="en-IN" sz="1200"/>
        </a:p>
        <a:p>
          <a:r>
            <a:rPr lang="en-IN" sz="1200"/>
            <a:t>a) Analyze average delivery time by region.</a:t>
          </a:r>
          <a:r>
            <a:rPr lang="en-IN" sz="1200" baseline="0"/>
            <a:t> </a:t>
          </a:r>
          <a:r>
            <a:rPr lang="en-IN" sz="1200"/>
            <a:t>Identify delivery time </a:t>
          </a:r>
        </a:p>
        <a:p>
          <a:r>
            <a:rPr lang="en-IN" sz="1200"/>
            <a:t>     variation</a:t>
          </a:r>
        </a:p>
        <a:p>
          <a:r>
            <a:rPr lang="en-IN" sz="1200"/>
            <a:t>b) Measure spread using range and standard deviation</a:t>
          </a:r>
        </a:p>
        <a:p>
          <a:r>
            <a:rPr lang="en-IN" sz="1200"/>
            <a:t>c) What is the distribution and variability of order delivery times </a:t>
          </a:r>
        </a:p>
        <a:p>
          <a:r>
            <a:rPr lang="en-IN" sz="1200"/>
            <a:t>     in the E-Commerce platform ? </a:t>
          </a:r>
        </a:p>
        <a:p>
          <a:r>
            <a:rPr lang="en-IN" sz="1200"/>
            <a:t>d)</a:t>
          </a:r>
          <a:r>
            <a:rPr lang="en-IN" sz="1200" baseline="0"/>
            <a:t> Which payment method is most commonly used by customers ? </a:t>
          </a:r>
          <a:endParaRPr lang="en-IN" sz="1200"/>
        </a:p>
        <a:p>
          <a:endParaRPr lang="en-IN" sz="1200"/>
        </a:p>
        <a:p>
          <a:pPr algn="l"/>
          <a:endParaRPr lang="en-IN" sz="1200"/>
        </a:p>
      </xdr:txBody>
    </xdr:sp>
    <xdr:clientData/>
  </xdr:twoCellAnchor>
  <xdr:twoCellAnchor>
    <xdr:from>
      <xdr:col>3</xdr:col>
      <xdr:colOff>7620</xdr:colOff>
      <xdr:row>0</xdr:row>
      <xdr:rowOff>148590</xdr:rowOff>
    </xdr:from>
    <xdr:to>
      <xdr:col>10</xdr:col>
      <xdr:colOff>312420</xdr:colOff>
      <xdr:row>15</xdr:row>
      <xdr:rowOff>148590</xdr:rowOff>
    </xdr:to>
    <xdr:graphicFrame macro="">
      <xdr:nvGraphicFramePr>
        <xdr:cNvPr id="2" name="Chart 1">
          <a:extLst>
            <a:ext uri="{FF2B5EF4-FFF2-40B4-BE49-F238E27FC236}">
              <a16:creationId xmlns:a16="http://schemas.microsoft.com/office/drawing/2014/main" id="{9D11702C-5664-3575-3393-EF9F36F898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1539240</xdr:colOff>
      <xdr:row>33</xdr:row>
      <xdr:rowOff>163830</xdr:rowOff>
    </xdr:from>
    <xdr:to>
      <xdr:col>9</xdr:col>
      <xdr:colOff>289560</xdr:colOff>
      <xdr:row>48</xdr:row>
      <xdr:rowOff>163830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3234A868-B247-4C34-323C-EA77960956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278380" y="62141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586740</xdr:colOff>
      <xdr:row>32</xdr:row>
      <xdr:rowOff>179070</xdr:rowOff>
    </xdr:from>
    <xdr:to>
      <xdr:col>25</xdr:col>
      <xdr:colOff>281940</xdr:colOff>
      <xdr:row>47</xdr:row>
      <xdr:rowOff>179070</xdr:rowOff>
    </xdr:to>
    <xdr:graphicFrame macro="">
      <xdr:nvGraphicFramePr>
        <xdr:cNvPr id="4" name="Chart 3">
          <a:extLst>
            <a:ext uri="{FF2B5EF4-FFF2-40B4-BE49-F238E27FC236}">
              <a16:creationId xmlns:a16="http://schemas.microsoft.com/office/drawing/2014/main" id="{3E364DBD-B3DC-B589-10AB-97A610B715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30480</xdr:colOff>
      <xdr:row>56</xdr:row>
      <xdr:rowOff>175260</xdr:rowOff>
    </xdr:from>
    <xdr:to>
      <xdr:col>9</xdr:col>
      <xdr:colOff>350520</xdr:colOff>
      <xdr:row>70</xdr:row>
      <xdr:rowOff>137160</xdr:rowOff>
    </xdr:to>
    <xdr:sp macro="" textlink="">
      <xdr:nvSpPr>
        <xdr:cNvPr id="6" name="Rectangle 5">
          <a:extLst>
            <a:ext uri="{FF2B5EF4-FFF2-40B4-BE49-F238E27FC236}">
              <a16:creationId xmlns:a16="http://schemas.microsoft.com/office/drawing/2014/main" id="{652E401C-C56D-A694-81F7-18349A6A3391}"/>
            </a:ext>
          </a:extLst>
        </xdr:cNvPr>
        <xdr:cNvSpPr/>
      </xdr:nvSpPr>
      <xdr:spPr>
        <a:xfrm>
          <a:off x="2933700" y="10431780"/>
          <a:ext cx="3977640" cy="25222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200" b="1"/>
            <a:t>key</a:t>
          </a:r>
          <a:r>
            <a:rPr lang="en-IN" sz="1200" b="1" baseline="0"/>
            <a:t> Observations:</a:t>
          </a:r>
          <a:endParaRPr lang="en-IN" sz="1200" b="1"/>
        </a:p>
        <a:p>
          <a:pPr algn="l"/>
          <a:endParaRPr lang="en-IN" sz="1200" b="1"/>
        </a:p>
        <a:p>
          <a:r>
            <a:rPr lang="en-IN" sz="1200">
              <a:solidFill>
                <a:schemeClr val="dk1"/>
              </a:solidFill>
              <a:effectLst/>
              <a:latin typeface="+mn-lt"/>
              <a:ea typeface="+mn-ea"/>
              <a:cs typeface="+mn-cs"/>
            </a:rPr>
            <a:t>a)</a:t>
          </a:r>
          <a:r>
            <a:rPr lang="en-IN" sz="1200" baseline="0">
              <a:solidFill>
                <a:schemeClr val="dk1"/>
              </a:solidFill>
              <a:effectLst/>
              <a:latin typeface="+mn-lt"/>
              <a:ea typeface="+mn-ea"/>
              <a:cs typeface="+mn-cs"/>
            </a:rPr>
            <a:t> The bar chart displays, </a:t>
          </a:r>
          <a:r>
            <a:rPr lang="en-IN" sz="1200" b="0" baseline="0">
              <a:solidFill>
                <a:schemeClr val="dk1"/>
              </a:solidFill>
              <a:effectLst/>
              <a:latin typeface="+mn-lt"/>
              <a:ea typeface="+mn-ea"/>
              <a:cs typeface="+mn-cs"/>
            </a:rPr>
            <a:t>t</a:t>
          </a:r>
          <a:r>
            <a:rPr lang="en-IN" sz="1200" b="0">
              <a:solidFill>
                <a:schemeClr val="dk1"/>
              </a:solidFill>
              <a:effectLst/>
              <a:latin typeface="+mn-lt"/>
              <a:ea typeface="+mn-ea"/>
              <a:cs typeface="+mn-cs"/>
            </a:rPr>
            <a:t>he south region has the lowest   </a:t>
          </a:r>
        </a:p>
        <a:p>
          <a:r>
            <a:rPr lang="en-IN" sz="1200" b="0">
              <a:solidFill>
                <a:schemeClr val="dk1"/>
              </a:solidFill>
              <a:effectLst/>
              <a:latin typeface="+mn-lt"/>
              <a:ea typeface="+mn-ea"/>
              <a:cs typeface="+mn-cs"/>
            </a:rPr>
            <a:t>     delivery time, indicating strong logistics performance.</a:t>
          </a:r>
          <a:endParaRPr lang="en-IN" sz="1200">
            <a:effectLst/>
          </a:endParaRPr>
        </a:p>
        <a:p>
          <a:r>
            <a:rPr lang="en-IN" sz="1200" b="0">
              <a:solidFill>
                <a:schemeClr val="dk1"/>
              </a:solidFill>
              <a:effectLst/>
              <a:latin typeface="+mn-lt"/>
              <a:ea typeface="+mn-ea"/>
              <a:cs typeface="+mn-cs"/>
            </a:rPr>
            <a:t>b) The West region shows the highest delivery days, </a:t>
          </a:r>
        </a:p>
        <a:p>
          <a:r>
            <a:rPr lang="en-IN" sz="1200" b="0" baseline="0">
              <a:solidFill>
                <a:schemeClr val="dk1"/>
              </a:solidFill>
              <a:effectLst/>
              <a:latin typeface="+mn-lt"/>
              <a:ea typeface="+mn-ea"/>
              <a:cs typeface="+mn-cs"/>
            </a:rPr>
            <a:t>     </a:t>
          </a:r>
          <a:r>
            <a:rPr lang="en-IN" sz="1200" b="0">
              <a:solidFill>
                <a:schemeClr val="dk1"/>
              </a:solidFill>
              <a:effectLst/>
              <a:latin typeface="+mn-lt"/>
              <a:ea typeface="+mn-ea"/>
              <a:cs typeface="+mn-cs"/>
            </a:rPr>
            <a:t>suggesting scope for improvement.</a:t>
          </a:r>
          <a:endParaRPr lang="en-IN" sz="1200">
            <a:effectLst/>
          </a:endParaRPr>
        </a:p>
        <a:p>
          <a:r>
            <a:rPr lang="en-IN" sz="1200" b="0"/>
            <a:t>c)</a:t>
          </a:r>
          <a:r>
            <a:rPr lang="en-IN" sz="1200" b="0" baseline="0"/>
            <a:t> </a:t>
          </a:r>
          <a:r>
            <a:rPr lang="en-IN" sz="1200" b="0"/>
            <a:t>The box plot displays delivery time variability.</a:t>
          </a:r>
          <a:r>
            <a:rPr lang="en-IN" sz="1200" b="0" baseline="0"/>
            <a:t> </a:t>
          </a:r>
          <a:r>
            <a:rPr lang="en-IN" sz="1200" b="0"/>
            <a:t>Most orders </a:t>
          </a:r>
        </a:p>
        <a:p>
          <a:r>
            <a:rPr lang="en-IN" sz="1200" b="0"/>
            <a:t>     are delivered within 3 to 7 days, showing consistency.</a:t>
          </a:r>
        </a:p>
        <a:p>
          <a:r>
            <a:rPr lang="en-IN" sz="1200" b="0"/>
            <a:t>d) T</a:t>
          </a:r>
          <a:r>
            <a:rPr lang="en-IN" sz="1200"/>
            <a:t>his pie chart highlights overall payment preferences.</a:t>
          </a:r>
        </a:p>
        <a:p>
          <a:r>
            <a:rPr lang="en-IN" sz="1200" b="1"/>
            <a:t>     </a:t>
          </a:r>
          <a:r>
            <a:rPr lang="en-IN" sz="1200" b="0"/>
            <a:t>Debit Cards and UPI are the most preferred methods.</a:t>
          </a:r>
        </a:p>
        <a:p>
          <a:r>
            <a:rPr lang="en-IN" sz="1200" b="0"/>
            <a:t>    Credit Cards and Cash on Delivery</a:t>
          </a:r>
          <a:r>
            <a:rPr lang="en-IN" sz="1200"/>
            <a:t> also hold significant   </a:t>
          </a:r>
        </a:p>
        <a:p>
          <a:r>
            <a:rPr lang="en-IN" sz="1200"/>
            <a:t>    shares.</a:t>
          </a:r>
          <a:r>
            <a:rPr lang="en-IN" sz="1200" baseline="0"/>
            <a:t> </a:t>
          </a:r>
          <a:r>
            <a:rPr lang="en-IN" sz="1200"/>
            <a:t>Digital payment methods dominate, reflecting  </a:t>
          </a:r>
        </a:p>
        <a:p>
          <a:r>
            <a:rPr lang="en-IN" sz="1200"/>
            <a:t>    increasing customer trust in online transactions.</a:t>
          </a:r>
        </a:p>
        <a:p>
          <a:endParaRPr lang="en-IN" sz="1200" b="0"/>
        </a:p>
        <a:p>
          <a:pPr algn="l"/>
          <a:endParaRPr lang="en-IN" sz="1200" b="0"/>
        </a:p>
        <a:p>
          <a:pPr algn="l"/>
          <a:endParaRPr lang="en-IN" sz="1200" b="1"/>
        </a:p>
        <a:p>
          <a:pPr algn="l"/>
          <a:endParaRPr lang="en-IN" sz="1200" b="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1</xdr:row>
      <xdr:rowOff>152400</xdr:rowOff>
    </xdr:from>
    <xdr:to>
      <xdr:col>21</xdr:col>
      <xdr:colOff>502920</xdr:colOff>
      <xdr:row>4</xdr:row>
      <xdr:rowOff>121920</xdr:rowOff>
    </xdr:to>
    <xdr:sp macro="" textlink="">
      <xdr:nvSpPr>
        <xdr:cNvPr id="2" name="Rectangle 1">
          <a:extLst>
            <a:ext uri="{FF2B5EF4-FFF2-40B4-BE49-F238E27FC236}">
              <a16:creationId xmlns:a16="http://schemas.microsoft.com/office/drawing/2014/main" id="{E3D10A0B-79A9-D8E3-5274-7F4AB9D2004D}"/>
            </a:ext>
          </a:extLst>
        </xdr:cNvPr>
        <xdr:cNvSpPr/>
      </xdr:nvSpPr>
      <xdr:spPr>
        <a:xfrm>
          <a:off x="3657600" y="335280"/>
          <a:ext cx="9646920" cy="518160"/>
        </a:xfrm>
        <a:prstGeom prst="rect">
          <a:avLst/>
        </a:prstGeom>
        <a:solidFill>
          <a:schemeClr val="accent5">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IN" sz="1100"/>
        </a:p>
      </xdr:txBody>
    </xdr:sp>
    <xdr:clientData/>
  </xdr:twoCellAnchor>
  <xdr:twoCellAnchor>
    <xdr:from>
      <xdr:col>6</xdr:col>
      <xdr:colOff>0</xdr:colOff>
      <xdr:row>4</xdr:row>
      <xdr:rowOff>160020</xdr:rowOff>
    </xdr:from>
    <xdr:to>
      <xdr:col>8</xdr:col>
      <xdr:colOff>381000</xdr:colOff>
      <xdr:row>9</xdr:row>
      <xdr:rowOff>15240</xdr:rowOff>
    </xdr:to>
    <xdr:sp macro="" textlink="">
      <xdr:nvSpPr>
        <xdr:cNvPr id="3" name="Rectangle: Rounded Corners 2">
          <a:extLst>
            <a:ext uri="{FF2B5EF4-FFF2-40B4-BE49-F238E27FC236}">
              <a16:creationId xmlns:a16="http://schemas.microsoft.com/office/drawing/2014/main" id="{CA46E3A3-F241-E454-62AF-9924FCC0E16F}"/>
            </a:ext>
          </a:extLst>
        </xdr:cNvPr>
        <xdr:cNvSpPr/>
      </xdr:nvSpPr>
      <xdr:spPr>
        <a:xfrm>
          <a:off x="3657600" y="891540"/>
          <a:ext cx="1600200" cy="769620"/>
        </a:xfrm>
        <a:prstGeom prst="roundRect">
          <a:avLst/>
        </a:prstGeom>
        <a:solidFill>
          <a:schemeClr val="accent5">
            <a:lumMod val="40000"/>
            <a:lumOff val="6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p>
        <a:p>
          <a:pPr algn="ctr"/>
          <a:r>
            <a:rPr lang="en-IN" sz="1100" b="1">
              <a:solidFill>
                <a:schemeClr val="tx1"/>
              </a:solidFill>
            </a:rPr>
            <a:t>Total Sales</a:t>
          </a:r>
          <a:br>
            <a:rPr lang="en-IN" sz="1100" b="1">
              <a:solidFill>
                <a:schemeClr val="tx1"/>
              </a:solidFill>
            </a:rPr>
          </a:br>
          <a:r>
            <a:rPr lang="en-IN" sz="1100" b="1">
              <a:solidFill>
                <a:schemeClr val="tx1"/>
              </a:solidFill>
            </a:rPr>
            <a:t>1752363</a:t>
          </a:r>
        </a:p>
      </xdr:txBody>
    </xdr:sp>
    <xdr:clientData/>
  </xdr:twoCellAnchor>
  <xdr:twoCellAnchor>
    <xdr:from>
      <xdr:col>8</xdr:col>
      <xdr:colOff>411480</xdr:colOff>
      <xdr:row>4</xdr:row>
      <xdr:rowOff>160020</xdr:rowOff>
    </xdr:from>
    <xdr:to>
      <xdr:col>11</xdr:col>
      <xdr:colOff>175260</xdr:colOff>
      <xdr:row>9</xdr:row>
      <xdr:rowOff>15240</xdr:rowOff>
    </xdr:to>
    <xdr:sp macro="" textlink="">
      <xdr:nvSpPr>
        <xdr:cNvPr id="4" name="Rectangle: Rounded Corners 3">
          <a:extLst>
            <a:ext uri="{FF2B5EF4-FFF2-40B4-BE49-F238E27FC236}">
              <a16:creationId xmlns:a16="http://schemas.microsoft.com/office/drawing/2014/main" id="{628594CC-7074-E0BB-9AC5-C3B7EE7C5442}"/>
            </a:ext>
          </a:extLst>
        </xdr:cNvPr>
        <xdr:cNvSpPr/>
      </xdr:nvSpPr>
      <xdr:spPr>
        <a:xfrm>
          <a:off x="5288280" y="891540"/>
          <a:ext cx="1592580" cy="769620"/>
        </a:xfrm>
        <a:prstGeom prst="roundRect">
          <a:avLst/>
        </a:prstGeom>
        <a:solidFill>
          <a:schemeClr val="accent2">
            <a:lumMod val="40000"/>
            <a:lumOff val="6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a:p>
          <a:pPr algn="ctr"/>
          <a:r>
            <a:rPr lang="en-IN" sz="1100" b="1">
              <a:solidFill>
                <a:schemeClr val="tx1"/>
              </a:solidFill>
            </a:rPr>
            <a:t>Average Order Value</a:t>
          </a:r>
          <a:br>
            <a:rPr lang="en-IN" sz="1100" b="1">
              <a:solidFill>
                <a:schemeClr val="tx1"/>
              </a:solidFill>
            </a:rPr>
          </a:br>
          <a:r>
            <a:rPr lang="en-IN" sz="1100" b="1">
              <a:solidFill>
                <a:schemeClr val="tx1"/>
              </a:solidFill>
            </a:rPr>
            <a:t>7009</a:t>
          </a:r>
        </a:p>
      </xdr:txBody>
    </xdr:sp>
    <xdr:clientData/>
  </xdr:twoCellAnchor>
  <xdr:twoCellAnchor>
    <xdr:from>
      <xdr:col>11</xdr:col>
      <xdr:colOff>198120</xdr:colOff>
      <xdr:row>4</xdr:row>
      <xdr:rowOff>160020</xdr:rowOff>
    </xdr:from>
    <xdr:to>
      <xdr:col>13</xdr:col>
      <xdr:colOff>571500</xdr:colOff>
      <xdr:row>9</xdr:row>
      <xdr:rowOff>15240</xdr:rowOff>
    </xdr:to>
    <xdr:sp macro="" textlink="">
      <xdr:nvSpPr>
        <xdr:cNvPr id="5" name="Rectangle: Rounded Corners 4">
          <a:extLst>
            <a:ext uri="{FF2B5EF4-FFF2-40B4-BE49-F238E27FC236}">
              <a16:creationId xmlns:a16="http://schemas.microsoft.com/office/drawing/2014/main" id="{B8E7EDE5-AB9E-85FE-7ADD-50651E581825}"/>
            </a:ext>
          </a:extLst>
        </xdr:cNvPr>
        <xdr:cNvSpPr/>
      </xdr:nvSpPr>
      <xdr:spPr>
        <a:xfrm>
          <a:off x="6903720" y="891540"/>
          <a:ext cx="1592580" cy="769620"/>
        </a:xfrm>
        <a:prstGeom prst="roundRect">
          <a:avLst/>
        </a:prstGeom>
        <a:solidFill>
          <a:schemeClr val="accent3">
            <a:lumMod val="60000"/>
            <a:lumOff val="4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p>
        <a:p>
          <a:pPr algn="ctr"/>
          <a:r>
            <a:rPr lang="en-IN" sz="1100" b="1"/>
            <a:t>Average Delivery Days</a:t>
          </a:r>
          <a:br>
            <a:rPr lang="en-IN" sz="1100" b="1"/>
          </a:br>
          <a:r>
            <a:rPr lang="en-IN" sz="1100" b="1"/>
            <a:t>5</a:t>
          </a:r>
          <a:br>
            <a:rPr lang="en-IN" sz="1100" b="1" baseline="0"/>
          </a:br>
          <a:endParaRPr lang="en-IN" sz="1100" b="1"/>
        </a:p>
      </xdr:txBody>
    </xdr:sp>
    <xdr:clientData/>
  </xdr:twoCellAnchor>
  <xdr:twoCellAnchor>
    <xdr:from>
      <xdr:col>13</xdr:col>
      <xdr:colOff>601980</xdr:colOff>
      <xdr:row>4</xdr:row>
      <xdr:rowOff>160020</xdr:rowOff>
    </xdr:from>
    <xdr:to>
      <xdr:col>16</xdr:col>
      <xdr:colOff>327660</xdr:colOff>
      <xdr:row>9</xdr:row>
      <xdr:rowOff>15240</xdr:rowOff>
    </xdr:to>
    <xdr:sp macro="" textlink="">
      <xdr:nvSpPr>
        <xdr:cNvPr id="6" name="Rectangle: Rounded Corners 5">
          <a:extLst>
            <a:ext uri="{FF2B5EF4-FFF2-40B4-BE49-F238E27FC236}">
              <a16:creationId xmlns:a16="http://schemas.microsoft.com/office/drawing/2014/main" id="{8A4702B0-0198-4E05-E109-9598E0715C2F}"/>
            </a:ext>
          </a:extLst>
        </xdr:cNvPr>
        <xdr:cNvSpPr/>
      </xdr:nvSpPr>
      <xdr:spPr>
        <a:xfrm>
          <a:off x="8526780" y="891540"/>
          <a:ext cx="1554480" cy="769620"/>
        </a:xfrm>
        <a:prstGeom prst="roundRect">
          <a:avLst/>
        </a:prstGeom>
        <a:solidFill>
          <a:schemeClr val="bg2">
            <a:lumMod val="7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t>Average</a:t>
          </a:r>
          <a:r>
            <a:rPr lang="en-IN" sz="1100" b="1" baseline="0"/>
            <a:t> Item Per Order</a:t>
          </a:r>
          <a:br>
            <a:rPr lang="en-IN" sz="1100" b="1" baseline="0"/>
          </a:br>
          <a:r>
            <a:rPr lang="en-IN" sz="1100" b="1" baseline="0"/>
            <a:t>2.88</a:t>
          </a:r>
          <a:br>
            <a:rPr lang="en-IN" sz="1100" b="1" baseline="0"/>
          </a:br>
          <a:endParaRPr lang="en-IN" sz="1100" b="1"/>
        </a:p>
      </xdr:txBody>
    </xdr:sp>
    <xdr:clientData/>
  </xdr:twoCellAnchor>
  <xdr:twoCellAnchor>
    <xdr:from>
      <xdr:col>6</xdr:col>
      <xdr:colOff>0</xdr:colOff>
      <xdr:row>9</xdr:row>
      <xdr:rowOff>53340</xdr:rowOff>
    </xdr:from>
    <xdr:to>
      <xdr:col>21</xdr:col>
      <xdr:colOff>510540</xdr:colOff>
      <xdr:row>20</xdr:row>
      <xdr:rowOff>22860</xdr:rowOff>
    </xdr:to>
    <xdr:sp macro="" textlink="">
      <xdr:nvSpPr>
        <xdr:cNvPr id="7" name="Rectangle 6">
          <a:extLst>
            <a:ext uri="{FF2B5EF4-FFF2-40B4-BE49-F238E27FC236}">
              <a16:creationId xmlns:a16="http://schemas.microsoft.com/office/drawing/2014/main" id="{E190C152-8AB6-115C-3954-4A5A8A7C6FEE}"/>
            </a:ext>
          </a:extLst>
        </xdr:cNvPr>
        <xdr:cNvSpPr/>
      </xdr:nvSpPr>
      <xdr:spPr>
        <a:xfrm>
          <a:off x="3657600" y="1699260"/>
          <a:ext cx="9654540" cy="19812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7620</xdr:colOff>
      <xdr:row>20</xdr:row>
      <xdr:rowOff>68580</xdr:rowOff>
    </xdr:from>
    <xdr:to>
      <xdr:col>21</xdr:col>
      <xdr:colOff>525780</xdr:colOff>
      <xdr:row>31</xdr:row>
      <xdr:rowOff>38100</xdr:rowOff>
    </xdr:to>
    <xdr:sp macro="" textlink="">
      <xdr:nvSpPr>
        <xdr:cNvPr id="8" name="Rectangle 7">
          <a:extLst>
            <a:ext uri="{FF2B5EF4-FFF2-40B4-BE49-F238E27FC236}">
              <a16:creationId xmlns:a16="http://schemas.microsoft.com/office/drawing/2014/main" id="{05180A17-F489-32F3-81D7-4552AFC9DA40}"/>
            </a:ext>
          </a:extLst>
        </xdr:cNvPr>
        <xdr:cNvSpPr/>
      </xdr:nvSpPr>
      <xdr:spPr>
        <a:xfrm>
          <a:off x="3665220" y="3726180"/>
          <a:ext cx="9662160" cy="19812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601980</xdr:colOff>
      <xdr:row>31</xdr:row>
      <xdr:rowOff>83820</xdr:rowOff>
    </xdr:from>
    <xdr:to>
      <xdr:col>21</xdr:col>
      <xdr:colOff>525780</xdr:colOff>
      <xdr:row>42</xdr:row>
      <xdr:rowOff>60960</xdr:rowOff>
    </xdr:to>
    <xdr:sp macro="" textlink="">
      <xdr:nvSpPr>
        <xdr:cNvPr id="9" name="Rectangle 8">
          <a:extLst>
            <a:ext uri="{FF2B5EF4-FFF2-40B4-BE49-F238E27FC236}">
              <a16:creationId xmlns:a16="http://schemas.microsoft.com/office/drawing/2014/main" id="{5A988940-9BB1-FE1C-F061-0533B3B767E2}"/>
            </a:ext>
          </a:extLst>
        </xdr:cNvPr>
        <xdr:cNvSpPr/>
      </xdr:nvSpPr>
      <xdr:spPr>
        <a:xfrm>
          <a:off x="3649980" y="5753100"/>
          <a:ext cx="9677400" cy="19888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584548</xdr:colOff>
      <xdr:row>9</xdr:row>
      <xdr:rowOff>38100</xdr:rowOff>
    </xdr:from>
    <xdr:to>
      <xdr:col>12</xdr:col>
      <xdr:colOff>7620</xdr:colOff>
      <xdr:row>20</xdr:row>
      <xdr:rowOff>38100</xdr:rowOff>
    </xdr:to>
    <xdr:graphicFrame macro="">
      <xdr:nvGraphicFramePr>
        <xdr:cNvPr id="10" name="Chart 9">
          <a:extLst>
            <a:ext uri="{FF2B5EF4-FFF2-40B4-BE49-F238E27FC236}">
              <a16:creationId xmlns:a16="http://schemas.microsoft.com/office/drawing/2014/main" id="{624F284F-4AA0-42F8-98F9-7AD316F20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586740</xdr:colOff>
      <xdr:row>9</xdr:row>
      <xdr:rowOff>45720</xdr:rowOff>
    </xdr:from>
    <xdr:to>
      <xdr:col>17</xdr:col>
      <xdr:colOff>45720</xdr:colOff>
      <xdr:row>20</xdr:row>
      <xdr:rowOff>91440</xdr:rowOff>
    </xdr:to>
    <xdr:graphicFrame macro="">
      <xdr:nvGraphicFramePr>
        <xdr:cNvPr id="11" name="Chart 10">
          <a:extLst>
            <a:ext uri="{FF2B5EF4-FFF2-40B4-BE49-F238E27FC236}">
              <a16:creationId xmlns:a16="http://schemas.microsoft.com/office/drawing/2014/main" id="{E52A4E90-CED7-4FD2-B9A3-16D8554A2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358140</xdr:colOff>
      <xdr:row>4</xdr:row>
      <xdr:rowOff>160020</xdr:rowOff>
    </xdr:from>
    <xdr:to>
      <xdr:col>19</xdr:col>
      <xdr:colOff>129540</xdr:colOff>
      <xdr:row>9</xdr:row>
      <xdr:rowOff>0</xdr:rowOff>
    </xdr:to>
    <xdr:sp macro="" textlink="">
      <xdr:nvSpPr>
        <xdr:cNvPr id="12" name="Rectangle: Rounded Corners 11">
          <a:extLst>
            <a:ext uri="{FF2B5EF4-FFF2-40B4-BE49-F238E27FC236}">
              <a16:creationId xmlns:a16="http://schemas.microsoft.com/office/drawing/2014/main" id="{D426C8DB-8B33-85D3-B80C-E04946D6D02B}"/>
            </a:ext>
          </a:extLst>
        </xdr:cNvPr>
        <xdr:cNvSpPr/>
      </xdr:nvSpPr>
      <xdr:spPr>
        <a:xfrm>
          <a:off x="10111740" y="891540"/>
          <a:ext cx="1600200" cy="754380"/>
        </a:xfrm>
        <a:prstGeom prst="roundRect">
          <a:avLst/>
        </a:prstGeom>
        <a:solidFill>
          <a:schemeClr val="tx2">
            <a:lumMod val="20000"/>
            <a:lumOff val="8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solidFill>
                <a:sysClr val="windowText" lastClr="000000"/>
              </a:solidFill>
            </a:rPr>
            <a:t>Highest Sales Growth Rate%</a:t>
          </a:r>
          <a:br>
            <a:rPr lang="en-IN" sz="1100" b="1">
              <a:solidFill>
                <a:sysClr val="windowText" lastClr="000000"/>
              </a:solidFill>
            </a:rPr>
          </a:br>
          <a:r>
            <a:rPr lang="en-IN" sz="1100" b="1">
              <a:solidFill>
                <a:sysClr val="windowText" lastClr="000000"/>
              </a:solidFill>
            </a:rPr>
            <a:t>271212(Feb)</a:t>
          </a:r>
        </a:p>
      </xdr:txBody>
    </xdr:sp>
    <xdr:clientData/>
  </xdr:twoCellAnchor>
  <xdr:twoCellAnchor>
    <xdr:from>
      <xdr:col>19</xdr:col>
      <xdr:colOff>160020</xdr:colOff>
      <xdr:row>4</xdr:row>
      <xdr:rowOff>167640</xdr:rowOff>
    </xdr:from>
    <xdr:to>
      <xdr:col>21</xdr:col>
      <xdr:colOff>518160</xdr:colOff>
      <xdr:row>9</xdr:row>
      <xdr:rowOff>0</xdr:rowOff>
    </xdr:to>
    <xdr:sp macro="" textlink="">
      <xdr:nvSpPr>
        <xdr:cNvPr id="13" name="Rectangle: Rounded Corners 12">
          <a:extLst>
            <a:ext uri="{FF2B5EF4-FFF2-40B4-BE49-F238E27FC236}">
              <a16:creationId xmlns:a16="http://schemas.microsoft.com/office/drawing/2014/main" id="{78E6FFB3-F094-EA27-7768-BA3BDB093241}"/>
            </a:ext>
          </a:extLst>
        </xdr:cNvPr>
        <xdr:cNvSpPr/>
      </xdr:nvSpPr>
      <xdr:spPr>
        <a:xfrm>
          <a:off x="11742420" y="899160"/>
          <a:ext cx="1577340" cy="746760"/>
        </a:xfrm>
        <a:prstGeom prst="roundRect">
          <a:avLst/>
        </a:prstGeom>
        <a:solidFill>
          <a:schemeClr val="accent4">
            <a:lumMod val="40000"/>
            <a:lumOff val="6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br>
            <a:rPr lang="en-IN" sz="1100"/>
          </a:br>
          <a:r>
            <a:rPr lang="en-IN" sz="1100" b="1">
              <a:solidFill>
                <a:sysClr val="windowText" lastClr="000000"/>
              </a:solidFill>
            </a:rPr>
            <a:t>Average Discount_%</a:t>
          </a:r>
          <a:br>
            <a:rPr lang="en-IN" sz="1100" b="1">
              <a:solidFill>
                <a:sysClr val="windowText" lastClr="000000"/>
              </a:solidFill>
            </a:rPr>
          </a:br>
          <a:r>
            <a:rPr lang="en-IN" sz="1100" b="1">
              <a:solidFill>
                <a:sysClr val="windowText" lastClr="000000"/>
              </a:solidFill>
            </a:rPr>
            <a:t>4.72</a:t>
          </a:r>
        </a:p>
      </xdr:txBody>
    </xdr:sp>
    <xdr:clientData/>
  </xdr:twoCellAnchor>
  <xdr:twoCellAnchor>
    <xdr:from>
      <xdr:col>16</xdr:col>
      <xdr:colOff>579120</xdr:colOff>
      <xdr:row>9</xdr:row>
      <xdr:rowOff>38100</xdr:rowOff>
    </xdr:from>
    <xdr:to>
      <xdr:col>21</xdr:col>
      <xdr:colOff>541020</xdr:colOff>
      <xdr:row>20</xdr:row>
      <xdr:rowOff>60960</xdr:rowOff>
    </xdr:to>
    <xdr:graphicFrame macro="">
      <xdr:nvGraphicFramePr>
        <xdr:cNvPr id="14" name="Chart 13">
          <a:extLst>
            <a:ext uri="{FF2B5EF4-FFF2-40B4-BE49-F238E27FC236}">
              <a16:creationId xmlns:a16="http://schemas.microsoft.com/office/drawing/2014/main" id="{EE965303-7E84-46F8-B2DE-633C2D859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601980</xdr:colOff>
      <xdr:row>20</xdr:row>
      <xdr:rowOff>60960</xdr:rowOff>
    </xdr:from>
    <xdr:to>
      <xdr:col>13</xdr:col>
      <xdr:colOff>541020</xdr:colOff>
      <xdr:row>31</xdr:row>
      <xdr:rowOff>76200</xdr:rowOff>
    </xdr:to>
    <xdr:graphicFrame macro="">
      <xdr:nvGraphicFramePr>
        <xdr:cNvPr id="15" name="Chart 14">
          <a:extLst>
            <a:ext uri="{FF2B5EF4-FFF2-40B4-BE49-F238E27FC236}">
              <a16:creationId xmlns:a16="http://schemas.microsoft.com/office/drawing/2014/main" id="{CE6EE1DA-7F40-4FA8-B316-984A8C7B1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541020</xdr:colOff>
      <xdr:row>20</xdr:row>
      <xdr:rowOff>68580</xdr:rowOff>
    </xdr:from>
    <xdr:to>
      <xdr:col>21</xdr:col>
      <xdr:colOff>541020</xdr:colOff>
      <xdr:row>31</xdr:row>
      <xdr:rowOff>76200</xdr:rowOff>
    </xdr:to>
    <xdr:graphicFrame macro="">
      <xdr:nvGraphicFramePr>
        <xdr:cNvPr id="16" name="Chart 15">
          <a:extLst>
            <a:ext uri="{FF2B5EF4-FFF2-40B4-BE49-F238E27FC236}">
              <a16:creationId xmlns:a16="http://schemas.microsoft.com/office/drawing/2014/main" id="{833D978C-906A-4BB9-8956-7D7EF76C6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107769</xdr:colOff>
      <xdr:row>2</xdr:row>
      <xdr:rowOff>32658</xdr:rowOff>
    </xdr:from>
    <xdr:to>
      <xdr:col>19</xdr:col>
      <xdr:colOff>424543</xdr:colOff>
      <xdr:row>4</xdr:row>
      <xdr:rowOff>21771</xdr:rowOff>
    </xdr:to>
    <xdr:sp macro="" textlink="">
      <xdr:nvSpPr>
        <xdr:cNvPr id="20" name="Rectangle 19">
          <a:extLst>
            <a:ext uri="{FF2B5EF4-FFF2-40B4-BE49-F238E27FC236}">
              <a16:creationId xmlns:a16="http://schemas.microsoft.com/office/drawing/2014/main" id="{18F2EFFF-225B-4AD4-F14D-4BA9DADACA92}"/>
            </a:ext>
          </a:extLst>
        </xdr:cNvPr>
        <xdr:cNvSpPr/>
      </xdr:nvSpPr>
      <xdr:spPr>
        <a:xfrm>
          <a:off x="4984569" y="402772"/>
          <a:ext cx="7022374" cy="359228"/>
        </a:xfrm>
        <a:prstGeom prst="rect">
          <a:avLst/>
        </a:prstGeom>
        <a:solidFill>
          <a:schemeClr val="accent5">
            <a:lumMod val="7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chemeClr val="dk1"/>
              </a:solidFill>
              <a:effectLst/>
              <a:latin typeface="Times New Roman" panose="02020603050405020304" pitchFamily="18" charset="0"/>
              <a:ea typeface="+mn-ea"/>
              <a:cs typeface="Times New Roman" panose="02020603050405020304" pitchFamily="18" charset="0"/>
            </a:rPr>
            <a:t>E-Commerce Sales &amp; Customer Behavior Dashboard</a:t>
          </a:r>
          <a:endParaRPr lang="en-IN" sz="1600">
            <a:effectLst/>
            <a:latin typeface="Times New Roman" panose="02020603050405020304" pitchFamily="18" charset="0"/>
            <a:cs typeface="Times New Roman" panose="02020603050405020304" pitchFamily="18" charset="0"/>
          </a:endParaRPr>
        </a:p>
        <a:p>
          <a:pPr algn="ctr"/>
          <a:endParaRPr lang="en-IN" sz="1100"/>
        </a:p>
      </xdr:txBody>
    </xdr:sp>
    <xdr:clientData/>
  </xdr:twoCellAnchor>
  <xdr:twoCellAnchor>
    <xdr:from>
      <xdr:col>5</xdr:col>
      <xdr:colOff>588844</xdr:colOff>
      <xdr:row>31</xdr:row>
      <xdr:rowOff>64376</xdr:rowOff>
    </xdr:from>
    <xdr:to>
      <xdr:col>11</xdr:col>
      <xdr:colOff>433552</xdr:colOff>
      <xdr:row>42</xdr:row>
      <xdr:rowOff>91966</xdr:rowOff>
    </xdr:to>
    <xdr:graphicFrame macro="">
      <xdr:nvGraphicFramePr>
        <xdr:cNvPr id="23" name="Chart 22">
          <a:extLst>
            <a:ext uri="{FF2B5EF4-FFF2-40B4-BE49-F238E27FC236}">
              <a16:creationId xmlns:a16="http://schemas.microsoft.com/office/drawing/2014/main" id="{9D729E95-54F0-44C4-9081-4281EACFE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434340</xdr:colOff>
      <xdr:row>31</xdr:row>
      <xdr:rowOff>60960</xdr:rowOff>
    </xdr:from>
    <xdr:to>
      <xdr:col>17</xdr:col>
      <xdr:colOff>30480</xdr:colOff>
      <xdr:row>42</xdr:row>
      <xdr:rowOff>99060</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FB270D6C-6000-4308-A231-A4BAD4DBED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139940" y="5730240"/>
              <a:ext cx="3253740" cy="20497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22860</xdr:colOff>
      <xdr:row>31</xdr:row>
      <xdr:rowOff>68580</xdr:rowOff>
    </xdr:from>
    <xdr:to>
      <xdr:col>21</xdr:col>
      <xdr:colOff>556260</xdr:colOff>
      <xdr:row>42</xdr:row>
      <xdr:rowOff>106680</xdr:rowOff>
    </xdr:to>
    <xdr:graphicFrame macro="">
      <xdr:nvGraphicFramePr>
        <xdr:cNvPr id="26" name="Chart 25">
          <a:extLst>
            <a:ext uri="{FF2B5EF4-FFF2-40B4-BE49-F238E27FC236}">
              <a16:creationId xmlns:a16="http://schemas.microsoft.com/office/drawing/2014/main" id="{361B8CB7-3122-4634-9A47-29BC07B01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22</xdr:col>
      <xdr:colOff>38100</xdr:colOff>
      <xdr:row>1</xdr:row>
      <xdr:rowOff>160021</xdr:rowOff>
    </xdr:from>
    <xdr:to>
      <xdr:col>25</xdr:col>
      <xdr:colOff>38100</xdr:colOff>
      <xdr:row>9</xdr:row>
      <xdr:rowOff>141516</xdr:rowOff>
    </xdr:to>
    <mc:AlternateContent xmlns:mc="http://schemas.openxmlformats.org/markup-compatibility/2006" xmlns:a14="http://schemas.microsoft.com/office/drawing/2010/main">
      <mc:Choice Requires="a14">
        <xdr:graphicFrame macro="">
          <xdr:nvGraphicFramePr>
            <xdr:cNvPr id="27" name="Region">
              <a:extLst>
                <a:ext uri="{FF2B5EF4-FFF2-40B4-BE49-F238E27FC236}">
                  <a16:creationId xmlns:a16="http://schemas.microsoft.com/office/drawing/2014/main" id="{9881BD0E-C6A7-1184-5377-1217AB3A26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357442" y="347910"/>
              <a:ext cx="1816274" cy="2537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327660</xdr:colOff>
      <xdr:row>1</xdr:row>
      <xdr:rowOff>175260</xdr:rowOff>
    </xdr:from>
    <xdr:to>
      <xdr:col>33</xdr:col>
      <xdr:colOff>358140</xdr:colOff>
      <xdr:row>15</xdr:row>
      <xdr:rowOff>15240</xdr:rowOff>
    </xdr:to>
    <xdr:sp macro="" textlink="">
      <xdr:nvSpPr>
        <xdr:cNvPr id="28" name="Rectangle 27">
          <a:extLst>
            <a:ext uri="{FF2B5EF4-FFF2-40B4-BE49-F238E27FC236}">
              <a16:creationId xmlns:a16="http://schemas.microsoft.com/office/drawing/2014/main" id="{FCCB93E6-06EF-1FAD-4D2D-998C4D6FB39D}"/>
            </a:ext>
          </a:extLst>
        </xdr:cNvPr>
        <xdr:cNvSpPr/>
      </xdr:nvSpPr>
      <xdr:spPr>
        <a:xfrm>
          <a:off x="15567660" y="358140"/>
          <a:ext cx="4907280" cy="2400300"/>
        </a:xfrm>
        <a:prstGeom prst="rect">
          <a:avLst/>
        </a:prstGeom>
        <a:solidFill>
          <a:schemeClr val="accent2">
            <a:lumMod val="40000"/>
            <a:lumOff val="6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N" sz="1200" b="1">
              <a:solidFill>
                <a:schemeClr val="dk1"/>
              </a:solidFill>
              <a:effectLst/>
              <a:latin typeface="+mn-lt"/>
              <a:ea typeface="+mn-ea"/>
              <a:cs typeface="+mn-cs"/>
            </a:rPr>
            <a:t>OBJECTIVE</a:t>
          </a:r>
          <a:r>
            <a:rPr lang="en-IN" sz="1200" b="1" baseline="0">
              <a:solidFill>
                <a:schemeClr val="dk1"/>
              </a:solidFill>
              <a:effectLst/>
              <a:latin typeface="+mn-lt"/>
              <a:ea typeface="+mn-ea"/>
              <a:cs typeface="+mn-cs"/>
            </a:rPr>
            <a:t> </a:t>
          </a:r>
          <a:r>
            <a:rPr lang="en-IN" sz="1200" b="1">
              <a:solidFill>
                <a:schemeClr val="dk1"/>
              </a:solidFill>
              <a:effectLst/>
              <a:latin typeface="+mn-lt"/>
              <a:ea typeface="+mn-ea"/>
              <a:cs typeface="+mn-cs"/>
            </a:rPr>
            <a:t>5: Design Comprehensive Dashboard</a:t>
          </a:r>
        </a:p>
        <a:p>
          <a:endParaRPr lang="en-IN" sz="1200" b="1">
            <a:solidFill>
              <a:schemeClr val="dk1"/>
            </a:solidFill>
            <a:effectLst/>
            <a:latin typeface="+mn-lt"/>
            <a:ea typeface="+mn-ea"/>
            <a:cs typeface="+mn-cs"/>
          </a:endParaRPr>
        </a:p>
        <a:p>
          <a:r>
            <a:rPr lang="en-IN" sz="1200" b="1">
              <a:solidFill>
                <a:schemeClr val="dk1"/>
              </a:solidFill>
              <a:effectLst/>
              <a:latin typeface="+mn-lt"/>
              <a:ea typeface="+mn-ea"/>
              <a:cs typeface="+mn-cs"/>
            </a:rPr>
            <a:t>Task</a:t>
          </a:r>
        </a:p>
        <a:p>
          <a:endParaRPr lang="en-IN" sz="1200">
            <a:effectLst/>
          </a:endParaRPr>
        </a:p>
        <a:p>
          <a:r>
            <a:rPr lang="en-IN" sz="1200" b="0">
              <a:solidFill>
                <a:schemeClr val="dk1"/>
              </a:solidFill>
              <a:effectLst/>
              <a:latin typeface="+mn-lt"/>
              <a:ea typeface="+mn-ea"/>
              <a:cs typeface="+mn-cs"/>
            </a:rPr>
            <a:t>5.1  Combine all visuals and calculated metrics from Task OB-1 to Task OB-4.</a:t>
          </a:r>
          <a:endParaRPr lang="en-IN" sz="1200">
            <a:effectLst/>
          </a:endParaRPr>
        </a:p>
        <a:p>
          <a:r>
            <a:rPr lang="en-IN" sz="1200" b="0">
              <a:solidFill>
                <a:schemeClr val="dk1"/>
              </a:solidFill>
              <a:effectLst/>
              <a:latin typeface="+mn-lt"/>
              <a:ea typeface="+mn-ea"/>
              <a:cs typeface="+mn-cs"/>
            </a:rPr>
            <a:t>5.2  Arrange the dashboard into three sections:</a:t>
          </a:r>
          <a:br>
            <a:rPr lang="en-IN" sz="1200" b="0">
              <a:solidFill>
                <a:schemeClr val="dk1"/>
              </a:solidFill>
              <a:effectLst/>
              <a:latin typeface="+mn-lt"/>
              <a:ea typeface="+mn-ea"/>
              <a:cs typeface="+mn-cs"/>
            </a:rPr>
          </a:br>
          <a:r>
            <a:rPr lang="en-IN" sz="1200" b="0">
              <a:solidFill>
                <a:schemeClr val="dk1"/>
              </a:solidFill>
              <a:effectLst/>
              <a:latin typeface="+mn-lt"/>
              <a:ea typeface="+mn-ea"/>
              <a:cs typeface="+mn-cs"/>
            </a:rPr>
            <a:t>5.2.1 Top Row: High-level KPIs from Task OB-2.</a:t>
          </a:r>
          <a:br>
            <a:rPr lang="en-IN" sz="1200" b="0">
              <a:solidFill>
                <a:schemeClr val="dk1"/>
              </a:solidFill>
              <a:effectLst/>
              <a:latin typeface="+mn-lt"/>
              <a:ea typeface="+mn-ea"/>
              <a:cs typeface="+mn-cs"/>
            </a:rPr>
          </a:br>
          <a:r>
            <a:rPr lang="en-IN" sz="1200" b="0">
              <a:solidFill>
                <a:schemeClr val="dk1"/>
              </a:solidFill>
              <a:effectLst/>
              <a:latin typeface="+mn-lt"/>
              <a:ea typeface="+mn-ea"/>
              <a:cs typeface="+mn-cs"/>
            </a:rPr>
            <a:t>5.2.2 Middle Section: Detailed visuals from Tasks OB-3.</a:t>
          </a:r>
          <a:br>
            <a:rPr lang="en-IN" sz="1200" b="0">
              <a:solidFill>
                <a:schemeClr val="dk1"/>
              </a:solidFill>
              <a:effectLst/>
              <a:latin typeface="+mn-lt"/>
              <a:ea typeface="+mn-ea"/>
              <a:cs typeface="+mn-cs"/>
            </a:rPr>
          </a:br>
          <a:r>
            <a:rPr lang="en-IN" sz="1200" b="0">
              <a:solidFill>
                <a:schemeClr val="dk1"/>
              </a:solidFill>
              <a:effectLst/>
              <a:latin typeface="+mn-lt"/>
              <a:ea typeface="+mn-ea"/>
              <a:cs typeface="+mn-cs"/>
            </a:rPr>
            <a:t>5.2.3 Bottom Section: Supporting visuals and narratives from Task OB-4.</a:t>
          </a:r>
          <a:endParaRPr lang="en-IN" sz="1200">
            <a:effectLst/>
          </a:endParaRPr>
        </a:p>
        <a:p>
          <a:r>
            <a:rPr lang="en-IN" sz="1200" b="0">
              <a:solidFill>
                <a:schemeClr val="dk1"/>
              </a:solidFill>
              <a:effectLst/>
              <a:latin typeface="+mn-lt"/>
              <a:ea typeface="+mn-ea"/>
              <a:cs typeface="+mn-cs"/>
            </a:rPr>
            <a:t>5.3  Assign a descriptive title to the dashboard, reflecting its purpose.</a:t>
          </a:r>
          <a:endParaRPr lang="en-IN" sz="1200">
            <a:effectLst/>
          </a:endParaRPr>
        </a:p>
        <a:p>
          <a:r>
            <a:rPr lang="en-IN" sz="1200" b="0">
              <a:solidFill>
                <a:schemeClr val="dk1"/>
              </a:solidFill>
              <a:effectLst/>
              <a:latin typeface="+mn-lt"/>
              <a:ea typeface="+mn-ea"/>
              <a:cs typeface="+mn-cs"/>
            </a:rPr>
            <a:t>5.4  Add annotations to key visuals to guide viewers effectively and enhance  </a:t>
          </a:r>
        </a:p>
        <a:p>
          <a:r>
            <a:rPr lang="en-IN" sz="1200" b="0">
              <a:solidFill>
                <a:schemeClr val="dk1"/>
              </a:solidFill>
              <a:effectLst/>
              <a:latin typeface="+mn-lt"/>
              <a:ea typeface="+mn-ea"/>
              <a:cs typeface="+mn-cs"/>
            </a:rPr>
            <a:t>        storytelling.</a:t>
          </a:r>
          <a:endParaRPr lang="en-IN" sz="1200">
            <a:effectLst/>
          </a:endParaRPr>
        </a:p>
        <a:p>
          <a:pPr algn="l"/>
          <a:endParaRPr lang="en-IN" sz="1100"/>
        </a:p>
      </xdr:txBody>
    </xdr:sp>
    <xdr:clientData/>
  </xdr:twoCellAnchor>
  <xdr:twoCellAnchor>
    <xdr:from>
      <xdr:col>25</xdr:col>
      <xdr:colOff>434340</xdr:colOff>
      <xdr:row>17</xdr:row>
      <xdr:rowOff>53340</xdr:rowOff>
    </xdr:from>
    <xdr:to>
      <xdr:col>31</xdr:col>
      <xdr:colOff>243840</xdr:colOff>
      <xdr:row>26</xdr:row>
      <xdr:rowOff>7620</xdr:rowOff>
    </xdr:to>
    <xdr:sp macro="" textlink="">
      <xdr:nvSpPr>
        <xdr:cNvPr id="17" name="Rectangle 16">
          <a:extLst>
            <a:ext uri="{FF2B5EF4-FFF2-40B4-BE49-F238E27FC236}">
              <a16:creationId xmlns:a16="http://schemas.microsoft.com/office/drawing/2014/main" id="{37DC0343-EC51-819D-606F-329F84FF432F}"/>
            </a:ext>
          </a:extLst>
        </xdr:cNvPr>
        <xdr:cNvSpPr/>
      </xdr:nvSpPr>
      <xdr:spPr>
        <a:xfrm>
          <a:off x="15674340" y="3162300"/>
          <a:ext cx="3467100" cy="16002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r>
            <a:rPr lang="en-IN" sz="1200" b="1"/>
            <a:t>Overall Insights:</a:t>
          </a:r>
        </a:p>
        <a:p>
          <a:endParaRPr lang="en-IN" sz="1200"/>
        </a:p>
        <a:p>
          <a:r>
            <a:rPr lang="en-IN" sz="1200"/>
            <a:t>1)</a:t>
          </a:r>
          <a:r>
            <a:rPr lang="en-IN" sz="1200" baseline="0"/>
            <a:t> </a:t>
          </a:r>
          <a:r>
            <a:rPr lang="en-IN" sz="1200"/>
            <a:t>Strong sales performance with clear category and </a:t>
          </a:r>
        </a:p>
        <a:p>
          <a:r>
            <a:rPr lang="en-IN" sz="1200"/>
            <a:t>     regional trends.</a:t>
          </a:r>
        </a:p>
        <a:p>
          <a:r>
            <a:rPr lang="en-IN" sz="1200"/>
            <a:t>2)</a:t>
          </a:r>
          <a:r>
            <a:rPr lang="en-IN" sz="1200" baseline="0"/>
            <a:t> </a:t>
          </a:r>
          <a:r>
            <a:rPr lang="en-IN" sz="1200"/>
            <a:t>Efficient delivery operations with minor regional </a:t>
          </a:r>
        </a:p>
        <a:p>
          <a:r>
            <a:rPr lang="en-IN" sz="1200"/>
            <a:t>     variations.</a:t>
          </a:r>
        </a:p>
        <a:p>
          <a:r>
            <a:rPr lang="en-IN" sz="1200"/>
            <a:t>3) Balanced customer demographics.</a:t>
          </a:r>
        </a:p>
        <a:p>
          <a:r>
            <a:rPr lang="en-IN" sz="1200"/>
            <a:t>4) Growing preference for digital payment methods</a:t>
          </a:r>
          <a:r>
            <a:rPr lang="en-IN"/>
            <a:t>.</a:t>
          </a:r>
        </a:p>
        <a:p>
          <a:pPr algn="l"/>
          <a:endParaRPr lang="en-IN" sz="1100"/>
        </a:p>
      </xdr:txBody>
    </xdr:sp>
    <xdr:clientData/>
  </xdr:twoCellAnchor>
  <xdr:twoCellAnchor>
    <xdr:from>
      <xdr:col>2</xdr:col>
      <xdr:colOff>508000</xdr:colOff>
      <xdr:row>5</xdr:row>
      <xdr:rowOff>30480</xdr:rowOff>
    </xdr:from>
    <xdr:to>
      <xdr:col>4</xdr:col>
      <xdr:colOff>375920</xdr:colOff>
      <xdr:row>8</xdr:row>
      <xdr:rowOff>172720</xdr:rowOff>
    </xdr:to>
    <xdr:sp macro="" textlink="">
      <xdr:nvSpPr>
        <xdr:cNvPr id="18" name="Rectangle 17">
          <a:extLst>
            <a:ext uri="{FF2B5EF4-FFF2-40B4-BE49-F238E27FC236}">
              <a16:creationId xmlns:a16="http://schemas.microsoft.com/office/drawing/2014/main" id="{0CFC10A7-5942-C853-207C-E9B9A549DC03}"/>
            </a:ext>
          </a:extLst>
        </xdr:cNvPr>
        <xdr:cNvSpPr/>
      </xdr:nvSpPr>
      <xdr:spPr>
        <a:xfrm>
          <a:off x="1727200" y="944880"/>
          <a:ext cx="1087120" cy="690880"/>
        </a:xfrm>
        <a:prstGeom prst="rect">
          <a:avLst/>
        </a:prstGeom>
        <a:ln w="19050">
          <a:solidFill>
            <a:schemeClr val="accent6">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a:t>Key Performance Indicator</a:t>
          </a:r>
        </a:p>
      </xdr:txBody>
    </xdr:sp>
    <xdr:clientData/>
  </xdr:twoCellAnchor>
  <xdr:twoCellAnchor>
    <xdr:from>
      <xdr:col>4</xdr:col>
      <xdr:colOff>375920</xdr:colOff>
      <xdr:row>6</xdr:row>
      <xdr:rowOff>179070</xdr:rowOff>
    </xdr:from>
    <xdr:to>
      <xdr:col>6</xdr:col>
      <xdr:colOff>0</xdr:colOff>
      <xdr:row>7</xdr:row>
      <xdr:rowOff>10160</xdr:rowOff>
    </xdr:to>
    <xdr:cxnSp macro="">
      <xdr:nvCxnSpPr>
        <xdr:cNvPr id="21" name="Straight Arrow Connector 20">
          <a:extLst>
            <a:ext uri="{FF2B5EF4-FFF2-40B4-BE49-F238E27FC236}">
              <a16:creationId xmlns:a16="http://schemas.microsoft.com/office/drawing/2014/main" id="{C6D0B31E-E97E-4031-C753-CA26E578B58C}"/>
            </a:ext>
          </a:extLst>
        </xdr:cNvPr>
        <xdr:cNvCxnSpPr>
          <a:stCxn id="18" idx="3"/>
        </xdr:cNvCxnSpPr>
      </xdr:nvCxnSpPr>
      <xdr:spPr>
        <a:xfrm flipV="1">
          <a:off x="2814320" y="1276350"/>
          <a:ext cx="843280" cy="13970"/>
        </a:xfrm>
        <a:prstGeom prst="straightConnector1">
          <a:avLst/>
        </a:prstGeom>
        <a:ln w="19050">
          <a:solidFill>
            <a:schemeClr val="accent6"/>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492606</xdr:colOff>
      <xdr:row>12</xdr:row>
      <xdr:rowOff>153939</xdr:rowOff>
    </xdr:from>
    <xdr:to>
      <xdr:col>4</xdr:col>
      <xdr:colOff>354061</xdr:colOff>
      <xdr:row>16</xdr:row>
      <xdr:rowOff>100061</xdr:rowOff>
    </xdr:to>
    <xdr:sp macro="" textlink="">
      <xdr:nvSpPr>
        <xdr:cNvPr id="30" name="Rectangle 29">
          <a:extLst>
            <a:ext uri="{FF2B5EF4-FFF2-40B4-BE49-F238E27FC236}">
              <a16:creationId xmlns:a16="http://schemas.microsoft.com/office/drawing/2014/main" id="{C265F1F9-B10C-CB43-08C2-8FC520045B96}"/>
            </a:ext>
          </a:extLst>
        </xdr:cNvPr>
        <xdr:cNvSpPr/>
      </xdr:nvSpPr>
      <xdr:spPr>
        <a:xfrm>
          <a:off x="1708727" y="2370666"/>
          <a:ext cx="1077576" cy="685031"/>
        </a:xfrm>
        <a:prstGeom prst="rect">
          <a:avLst/>
        </a:prstGeom>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0">
              <a:solidFill>
                <a:schemeClr val="dk1"/>
              </a:solidFill>
              <a:effectLst/>
              <a:latin typeface="+mn-lt"/>
              <a:ea typeface="+mn-ea"/>
              <a:cs typeface="+mn-cs"/>
            </a:rPr>
            <a:t>Sales Performance Analysis </a:t>
          </a:r>
          <a:endParaRPr lang="en-IN" sz="1100" b="0"/>
        </a:p>
      </xdr:txBody>
    </xdr:sp>
    <xdr:clientData/>
  </xdr:twoCellAnchor>
  <xdr:twoCellAnchor>
    <xdr:from>
      <xdr:col>4</xdr:col>
      <xdr:colOff>354061</xdr:colOff>
      <xdr:row>14</xdr:row>
      <xdr:rowOff>127000</xdr:rowOff>
    </xdr:from>
    <xdr:to>
      <xdr:col>5</xdr:col>
      <xdr:colOff>584548</xdr:colOff>
      <xdr:row>14</xdr:row>
      <xdr:rowOff>130463</xdr:rowOff>
    </xdr:to>
    <xdr:cxnSp macro="">
      <xdr:nvCxnSpPr>
        <xdr:cNvPr id="34" name="Straight Arrow Connector 33">
          <a:extLst>
            <a:ext uri="{FF2B5EF4-FFF2-40B4-BE49-F238E27FC236}">
              <a16:creationId xmlns:a16="http://schemas.microsoft.com/office/drawing/2014/main" id="{20AF9887-3175-62BA-C649-01F7969CEB86}"/>
            </a:ext>
          </a:extLst>
        </xdr:cNvPr>
        <xdr:cNvCxnSpPr>
          <a:stCxn id="30" idx="3"/>
          <a:endCxn id="10" idx="1"/>
        </xdr:cNvCxnSpPr>
      </xdr:nvCxnSpPr>
      <xdr:spPr>
        <a:xfrm>
          <a:off x="2786303" y="2713182"/>
          <a:ext cx="838548" cy="3463"/>
        </a:xfrm>
        <a:prstGeom prst="straightConnector1">
          <a:avLst/>
        </a:prstGeom>
        <a:ln w="19050">
          <a:solidFill>
            <a:schemeClr val="accent6"/>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415636</xdr:colOff>
      <xdr:row>24</xdr:row>
      <xdr:rowOff>7697</xdr:rowOff>
    </xdr:from>
    <xdr:to>
      <xdr:col>4</xdr:col>
      <xdr:colOff>292485</xdr:colOff>
      <xdr:row>27</xdr:row>
      <xdr:rowOff>138546</xdr:rowOff>
    </xdr:to>
    <xdr:sp macro="" textlink="">
      <xdr:nvSpPr>
        <xdr:cNvPr id="35" name="Rectangle 34">
          <a:extLst>
            <a:ext uri="{FF2B5EF4-FFF2-40B4-BE49-F238E27FC236}">
              <a16:creationId xmlns:a16="http://schemas.microsoft.com/office/drawing/2014/main" id="{0FD5A309-B896-C508-C629-531A1B10DCF2}"/>
            </a:ext>
          </a:extLst>
        </xdr:cNvPr>
        <xdr:cNvSpPr/>
      </xdr:nvSpPr>
      <xdr:spPr>
        <a:xfrm>
          <a:off x="1631757" y="4441152"/>
          <a:ext cx="1092970" cy="685030"/>
        </a:xfrm>
        <a:prstGeom prst="rect">
          <a:avLst/>
        </a:prstGeom>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0">
              <a:solidFill>
                <a:schemeClr val="dk1"/>
              </a:solidFill>
              <a:effectLst/>
              <a:latin typeface="+mn-lt"/>
              <a:ea typeface="+mn-ea"/>
              <a:cs typeface="+mn-cs"/>
            </a:rPr>
            <a:t>Customer Demographics Analysis</a:t>
          </a:r>
          <a:endParaRPr lang="en-IN" sz="1100" b="0"/>
        </a:p>
      </xdr:txBody>
    </xdr:sp>
    <xdr:clientData/>
  </xdr:twoCellAnchor>
  <xdr:twoCellAnchor>
    <xdr:from>
      <xdr:col>4</xdr:col>
      <xdr:colOff>292485</xdr:colOff>
      <xdr:row>25</xdr:row>
      <xdr:rowOff>160943</xdr:rowOff>
    </xdr:from>
    <xdr:to>
      <xdr:col>5</xdr:col>
      <xdr:colOff>601980</xdr:colOff>
      <xdr:row>25</xdr:row>
      <xdr:rowOff>165485</xdr:rowOff>
    </xdr:to>
    <xdr:cxnSp macro="">
      <xdr:nvCxnSpPr>
        <xdr:cNvPr id="37" name="Straight Arrow Connector 36">
          <a:extLst>
            <a:ext uri="{FF2B5EF4-FFF2-40B4-BE49-F238E27FC236}">
              <a16:creationId xmlns:a16="http://schemas.microsoft.com/office/drawing/2014/main" id="{8C6E8954-C971-2665-8DEF-6143C56FA6AE}"/>
            </a:ext>
          </a:extLst>
        </xdr:cNvPr>
        <xdr:cNvCxnSpPr>
          <a:stCxn id="35" idx="3"/>
          <a:endCxn id="15" idx="1"/>
        </xdr:cNvCxnSpPr>
      </xdr:nvCxnSpPr>
      <xdr:spPr>
        <a:xfrm flipV="1">
          <a:off x="2724727" y="4779125"/>
          <a:ext cx="917556" cy="4542"/>
        </a:xfrm>
        <a:prstGeom prst="straightConnector1">
          <a:avLst/>
        </a:prstGeom>
        <a:ln w="19050">
          <a:solidFill>
            <a:schemeClr val="accent6"/>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407940</xdr:colOff>
      <xdr:row>35</xdr:row>
      <xdr:rowOff>7697</xdr:rowOff>
    </xdr:from>
    <xdr:to>
      <xdr:col>4</xdr:col>
      <xdr:colOff>261697</xdr:colOff>
      <xdr:row>38</xdr:row>
      <xdr:rowOff>123152</xdr:rowOff>
    </xdr:to>
    <xdr:sp macro="" textlink="">
      <xdr:nvSpPr>
        <xdr:cNvPr id="38" name="Rectangle 37">
          <a:extLst>
            <a:ext uri="{FF2B5EF4-FFF2-40B4-BE49-F238E27FC236}">
              <a16:creationId xmlns:a16="http://schemas.microsoft.com/office/drawing/2014/main" id="{3C579692-FF78-BD82-4AB1-47017314177E}"/>
            </a:ext>
          </a:extLst>
        </xdr:cNvPr>
        <xdr:cNvSpPr/>
      </xdr:nvSpPr>
      <xdr:spPr>
        <a:xfrm>
          <a:off x="1624061" y="6473152"/>
          <a:ext cx="1069878" cy="669636"/>
        </a:xfrm>
        <a:prstGeom prst="rect">
          <a:avLst/>
        </a:prstGeom>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0">
              <a:solidFill>
                <a:schemeClr val="dk1"/>
              </a:solidFill>
              <a:effectLst/>
              <a:latin typeface="+mn-lt"/>
              <a:ea typeface="+mn-ea"/>
              <a:cs typeface="+mn-cs"/>
            </a:rPr>
            <a:t>Order Delivery and Payment Analysis</a:t>
          </a:r>
          <a:endParaRPr lang="en-IN" sz="1100" b="0"/>
        </a:p>
      </xdr:txBody>
    </xdr:sp>
    <xdr:clientData/>
  </xdr:twoCellAnchor>
  <xdr:twoCellAnchor>
    <xdr:from>
      <xdr:col>4</xdr:col>
      <xdr:colOff>261697</xdr:colOff>
      <xdr:row>36</xdr:row>
      <xdr:rowOff>157788</xdr:rowOff>
    </xdr:from>
    <xdr:to>
      <xdr:col>5</xdr:col>
      <xdr:colOff>601980</xdr:colOff>
      <xdr:row>36</xdr:row>
      <xdr:rowOff>164753</xdr:rowOff>
    </xdr:to>
    <xdr:cxnSp macro="">
      <xdr:nvCxnSpPr>
        <xdr:cNvPr id="40" name="Straight Arrow Connector 39">
          <a:extLst>
            <a:ext uri="{FF2B5EF4-FFF2-40B4-BE49-F238E27FC236}">
              <a16:creationId xmlns:a16="http://schemas.microsoft.com/office/drawing/2014/main" id="{E1BD6589-B657-C88C-8090-8855B0461FEA}"/>
            </a:ext>
          </a:extLst>
        </xdr:cNvPr>
        <xdr:cNvCxnSpPr>
          <a:stCxn id="38" idx="3"/>
          <a:endCxn id="9" idx="1"/>
        </xdr:cNvCxnSpPr>
      </xdr:nvCxnSpPr>
      <xdr:spPr>
        <a:xfrm>
          <a:off x="2693939" y="6807970"/>
          <a:ext cx="948344" cy="6965"/>
        </a:xfrm>
        <a:prstGeom prst="straightConnector1">
          <a:avLst/>
        </a:prstGeom>
        <a:ln w="19050">
          <a:solidFill>
            <a:schemeClr val="accent6"/>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 sai" refreshedDate="46017.982462037035" createdVersion="8" refreshedVersion="8" minRefreshableVersion="3" recordCount="250" xr:uid="{16D6C1E9-1768-45FB-973E-55D26807183B}">
  <cacheSource type="worksheet">
    <worksheetSource ref="A1:M251" sheet="Task-OB-1"/>
  </cacheSource>
  <cacheFields count="15">
    <cacheField name="Order_ID" numFmtId="0">
      <sharedItems/>
    </cacheField>
    <cacheField name="Order_Date" numFmtId="165">
      <sharedItems containsSemiMixedTypes="0" containsNonDate="0" containsDate="1" containsString="0" minDate="2024-01-01T00:00:00" maxDate="2024-09-07T00:00:00" count="25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sharedItems>
      <fieldGroup par="14"/>
    </cacheField>
    <cacheField name="Customer_ID" numFmtId="0">
      <sharedItems count="218">
        <s v="CUST202"/>
        <s v="CUST535"/>
        <s v="CUST960"/>
        <s v="CUST370"/>
        <s v="CUST206"/>
        <s v="CUST171"/>
        <s v="CUST800"/>
        <s v="CUST120"/>
        <s v="CUST714"/>
        <s v="CUST221"/>
        <s v="CUST566"/>
        <s v="CUST314"/>
        <s v="CUST430"/>
        <s v="CUST558"/>
        <s v="CUST187"/>
        <s v="CUST472"/>
        <s v="CUST199"/>
        <s v="CUST971"/>
        <s v="CUST763"/>
        <s v="CUST230"/>
        <s v="CUST761"/>
        <s v="CUST408"/>
        <s v="CUST869"/>
        <s v="CUST443"/>
        <s v="CUST591"/>
        <s v="CUST513"/>
        <s v="CUST905"/>
        <s v="CUST485"/>
        <s v="CUST291"/>
        <s v="CUST376"/>
        <s v="CUST260"/>
        <s v="CUST559"/>
        <s v="CUST413"/>
        <s v="CUST121"/>
        <s v="CUST352"/>
        <s v="CUST847"/>
        <s v="CUST956"/>
        <s v="CUST660"/>
        <s v="CUST574"/>
        <s v="CUST158"/>
        <s v="CUST610"/>
        <s v="CUST781"/>
        <s v="CUST575"/>
        <s v="CUST799"/>
        <s v="CUST882"/>
        <s v="CUST289"/>
        <s v="CUST786"/>
        <s v="CUST662"/>
        <s v="CUST975"/>
        <s v="CUST666"/>
        <s v="CUST343"/>
        <s v="CUST931"/>
        <s v="CUST604"/>
        <s v="CUST584"/>
        <s v="CUST918"/>
        <s v="CUST746"/>
        <s v="CUST940"/>
        <s v="CUST266"/>
        <s v="CUST373"/>
        <s v="CUST487"/>
        <s v="CUST700"/>
        <s v="CUST415"/>
        <s v="CUST113"/>
        <s v="CUST341"/>
        <s v="CUST876"/>
        <s v="CUST445"/>
        <s v="CUST664"/>
        <s v="CUST997"/>
        <s v="CUST439"/>
        <s v="CUST191"/>
        <s v="CUST466"/>
        <s v="CUST554"/>
        <s v="CUST527"/>
        <s v="CUST608"/>
        <s v="CUST875"/>
        <s v="CUST134"/>
        <s v="CUST305"/>
        <s v="CUST180"/>
        <s v="CUST661"/>
        <s v="CUST101"/>
        <s v="CUST489"/>
        <s v="CUST665"/>
        <s v="CUST205"/>
        <s v="CUST871"/>
        <s v="CUST921"/>
        <s v="CUST576"/>
        <s v="CUST802"/>
        <s v="CUST501"/>
        <s v="CUST829"/>
        <s v="CUST655"/>
        <s v="CUST261"/>
        <s v="CUST301"/>
        <s v="CUST369"/>
        <s v="CUST962"/>
        <s v="CUST915"/>
        <s v="CUST555"/>
        <s v="CUST561"/>
        <s v="CUST826"/>
        <s v="CUST351"/>
        <s v="CUST801"/>
        <s v="CUST395"/>
        <s v="CUST824"/>
        <s v="CUST819"/>
        <s v="CUST848"/>
        <s v="CUST437"/>
        <s v="CUST978"/>
        <s v="CUST152"/>
        <s v="CUST891"/>
        <s v="CUST316"/>
        <s v="CUST863"/>
        <s v="CUST287"/>
        <s v="CUST479"/>
        <s v="CUST592"/>
        <s v="CUST140"/>
        <s v="CUST256"/>
        <s v="CUST114"/>
        <s v="CUST912"/>
        <s v="CUST164"/>
        <s v="CUST938"/>
        <s v="CUST620"/>
        <s v="CUST228"/>
        <s v="CUST747"/>
        <s v="CUST571"/>
        <s v="CUST162"/>
        <s v="CUST238"/>
        <s v="CUST598"/>
        <s v="CUST692"/>
        <s v="CUST491"/>
        <s v="CUST774"/>
        <s v="CUST518"/>
        <s v="CUST388"/>
        <s v="CUST478"/>
        <s v="CUST872"/>
        <s v="CUST589"/>
        <s v="CUST330"/>
        <s v="CUST127"/>
        <s v="CUST234"/>
        <s v="CUST300"/>
        <s v="CUST939"/>
        <s v="CUST879"/>
        <s v="CUST132"/>
        <s v="CUST147"/>
        <s v="CUST602"/>
        <s v="CUST506"/>
        <s v="CUST673"/>
        <s v="CUST827"/>
        <s v="CUST904"/>
        <s v="CUST198"/>
        <s v="CUST783"/>
        <s v="CUST825"/>
        <s v="CUST646"/>
        <s v="CUST838"/>
        <s v="CUST712"/>
        <s v="CUST742"/>
        <s v="CUST868"/>
        <s v="CUST104"/>
        <s v="CUST317"/>
        <s v="CUST866"/>
        <s v="CUST497"/>
        <s v="CUST970"/>
        <s v="CUST894"/>
        <s v="CUST492"/>
        <s v="CUST306"/>
        <s v="CUST957"/>
        <s v="CUST653"/>
        <s v="CUST991"/>
        <s v="CUST560"/>
        <s v="CUST790"/>
        <s v="CUST674"/>
        <s v="CUST963"/>
        <s v="CUST842"/>
        <s v="CUST340"/>
        <s v="CUST663"/>
        <s v="CUST195"/>
        <s v="CUST833"/>
        <s v="CUST754"/>
        <s v="CUST270"/>
        <s v="CUST640"/>
        <s v="CUST135"/>
        <s v="CUST624"/>
        <s v="CUST259"/>
        <s v="CUST798"/>
        <s v="CUST342"/>
        <s v="CUST185"/>
        <s v="CUST895"/>
        <s v="CUST677"/>
        <s v="CUST656"/>
        <s v="CUST745"/>
        <s v="CUST719"/>
        <s v="CUST897"/>
        <s v="CUST739"/>
        <s v="CUST605"/>
        <s v="CUST447"/>
        <s v="CUST572"/>
        <s v="CUST324"/>
        <s v="CUST484"/>
        <s v="CUST476"/>
        <s v="CUST382"/>
        <s v="CUST732"/>
        <s v="CUST727"/>
        <s v="CUST844"/>
        <s v="CUST358"/>
        <s v="CUST458"/>
        <s v="CUST809"/>
        <s v="CUST510"/>
        <s v="CUST748"/>
        <s v="CUST417"/>
        <s v="CUST776"/>
        <s v="CUST333"/>
        <s v="CUST926"/>
        <s v="CUST473"/>
        <s v="CUST771"/>
        <s v="CUST707"/>
        <s v="CUST332"/>
        <s v="CUST791"/>
        <s v="CUST212"/>
        <s v="CUST929"/>
        <s v="CUST596"/>
      </sharedItems>
    </cacheField>
    <cacheField name="Gender" numFmtId="0">
      <sharedItems count="2">
        <s v="Female"/>
        <s v="Male"/>
      </sharedItems>
    </cacheField>
    <cacheField name="Age" numFmtId="0">
      <sharedItems containsSemiMixedTypes="0" containsString="0" containsNumber="1" containsInteger="1" minValue="18" maxValue="59" count="42">
        <n v="43"/>
        <n v="34"/>
        <n v="57"/>
        <n v="50"/>
        <n v="26"/>
        <n v="56"/>
        <n v="46"/>
        <n v="59"/>
        <n v="52"/>
        <n v="42"/>
        <n v="41"/>
        <n v="30"/>
        <n v="24"/>
        <n v="53"/>
        <n v="37"/>
        <n v="18"/>
        <n v="25"/>
        <n v="33"/>
        <n v="31"/>
        <n v="29"/>
        <n v="40"/>
        <n v="32"/>
        <n v="45"/>
        <n v="51"/>
        <n v="19"/>
        <n v="49"/>
        <n v="39"/>
        <n v="23"/>
        <n v="54"/>
        <n v="22"/>
        <n v="21"/>
        <n v="47"/>
        <n v="36"/>
        <n v="20"/>
        <n v="38"/>
        <n v="27"/>
        <n v="48"/>
        <n v="44"/>
        <n v="58"/>
        <n v="28"/>
        <n v="35"/>
        <n v="55"/>
      </sharedItems>
    </cacheField>
    <cacheField name="Region" numFmtId="0">
      <sharedItems count="4">
        <s v="North"/>
        <s v="East"/>
        <s v="West"/>
        <s v="South"/>
      </sharedItems>
    </cacheField>
    <cacheField name="Product_Category" numFmtId="0">
      <sharedItems count="5">
        <s v="Electronics"/>
        <s v="Home"/>
        <s v="Beauty"/>
        <s v="Books"/>
        <s v="Fashion"/>
      </sharedItems>
    </cacheField>
    <cacheField name="Payment_Method" numFmtId="0">
      <sharedItems count="4">
        <s v="Debit Card"/>
        <s v="Cash on Delivery"/>
        <s v="UPI"/>
        <s v="Credit Card"/>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201" maxValue="4999"/>
    </cacheField>
    <cacheField name="Discount_%" numFmtId="0">
      <sharedItems containsSemiMixedTypes="0" containsString="0" containsNumber="1" containsInteger="1" minValue="0" maxValue="15"/>
    </cacheField>
    <cacheField name="Delivery_Days" numFmtId="0">
      <sharedItems containsSemiMixedTypes="0" containsString="0" containsNumber="1" containsInteger="1" minValue="1" maxValue="9"/>
    </cacheField>
    <cacheField name="Total_Sales" numFmtId="1">
      <sharedItems containsSemiMixedTypes="0" containsString="0" containsNumber="1" minValue="284.39999999999998" maxValue="24975"/>
    </cacheField>
    <cacheField name="Days (Order_Date)" numFmtId="0" databaseField="0">
      <fieldGroup base="1">
        <rangePr groupBy="days" startDate="2024-01-01T00:00:00" endDate="2024-09-07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4"/>
        </groupItems>
      </fieldGroup>
    </cacheField>
    <cacheField name="Months (Order_Date)" numFmtId="0" databaseField="0">
      <fieldGroup base="1">
        <rangePr groupBy="months" startDate="2024-01-01T00:00:00" endDate="2024-09-07T00:00:00"/>
        <groupItems count="14">
          <s v="&lt;01-01-2024"/>
          <s v="Jan"/>
          <s v="Feb"/>
          <s v="Mar"/>
          <s v="Apr"/>
          <s v="May"/>
          <s v="Jun"/>
          <s v="Jul"/>
          <s v="Aug"/>
          <s v="Sep"/>
          <s v="Oct"/>
          <s v="Nov"/>
          <s v="Dec"/>
          <s v="&gt;07-09-2024"/>
        </groupItems>
      </fieldGroup>
    </cacheField>
  </cacheFields>
  <extLst>
    <ext xmlns:x14="http://schemas.microsoft.com/office/spreadsheetml/2009/9/main" uri="{725AE2AE-9491-48be-B2B4-4EB974FC3084}">
      <x14:pivotCacheDefinition pivotCacheId="14600416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1000"/>
    <x v="0"/>
    <x v="0"/>
    <x v="0"/>
    <x v="0"/>
    <x v="0"/>
    <x v="0"/>
    <x v="0"/>
    <n v="1"/>
    <n v="4455"/>
    <n v="5"/>
    <n v="5"/>
    <n v="4232.25"/>
  </r>
  <r>
    <s v="ORD1001"/>
    <x v="1"/>
    <x v="1"/>
    <x v="0"/>
    <x v="1"/>
    <x v="1"/>
    <x v="1"/>
    <x v="1"/>
    <n v="2"/>
    <n v="4269"/>
    <n v="15"/>
    <n v="4"/>
    <n v="7257.3"/>
  </r>
  <r>
    <s v="ORD1002"/>
    <x v="2"/>
    <x v="2"/>
    <x v="0"/>
    <x v="2"/>
    <x v="0"/>
    <x v="2"/>
    <x v="1"/>
    <n v="3"/>
    <n v="1092"/>
    <n v="5"/>
    <n v="2"/>
    <n v="3112.2"/>
  </r>
  <r>
    <s v="ORD1003"/>
    <x v="3"/>
    <x v="3"/>
    <x v="0"/>
    <x v="3"/>
    <x v="2"/>
    <x v="2"/>
    <x v="0"/>
    <n v="1"/>
    <n v="2230"/>
    <n v="10"/>
    <n v="8"/>
    <n v="2007"/>
  </r>
  <r>
    <s v="ORD1004"/>
    <x v="4"/>
    <x v="4"/>
    <x v="1"/>
    <x v="4"/>
    <x v="3"/>
    <x v="0"/>
    <x v="1"/>
    <n v="2"/>
    <n v="3360"/>
    <n v="5"/>
    <n v="3"/>
    <n v="6384"/>
  </r>
  <r>
    <s v="ORD1005"/>
    <x v="5"/>
    <x v="5"/>
    <x v="0"/>
    <x v="5"/>
    <x v="0"/>
    <x v="1"/>
    <x v="1"/>
    <n v="3"/>
    <n v="2576"/>
    <n v="10"/>
    <n v="4"/>
    <n v="6955.2"/>
  </r>
  <r>
    <s v="ORD1006"/>
    <x v="6"/>
    <x v="6"/>
    <x v="1"/>
    <x v="6"/>
    <x v="1"/>
    <x v="1"/>
    <x v="1"/>
    <n v="1"/>
    <n v="4875"/>
    <n v="0"/>
    <n v="7"/>
    <n v="4875"/>
  </r>
  <r>
    <s v="ORD1007"/>
    <x v="7"/>
    <x v="7"/>
    <x v="1"/>
    <x v="7"/>
    <x v="2"/>
    <x v="1"/>
    <x v="1"/>
    <n v="1"/>
    <n v="2133"/>
    <n v="0"/>
    <n v="9"/>
    <n v="2133"/>
  </r>
  <r>
    <s v="ORD1008"/>
    <x v="8"/>
    <x v="8"/>
    <x v="1"/>
    <x v="0"/>
    <x v="0"/>
    <x v="3"/>
    <x v="1"/>
    <n v="2"/>
    <n v="1580"/>
    <n v="0"/>
    <n v="2"/>
    <n v="3160"/>
  </r>
  <r>
    <s v="ORD1009"/>
    <x v="9"/>
    <x v="9"/>
    <x v="1"/>
    <x v="8"/>
    <x v="0"/>
    <x v="4"/>
    <x v="2"/>
    <n v="5"/>
    <n v="3881"/>
    <n v="0"/>
    <n v="3"/>
    <n v="19405"/>
  </r>
  <r>
    <s v="ORD1010"/>
    <x v="10"/>
    <x v="10"/>
    <x v="0"/>
    <x v="9"/>
    <x v="2"/>
    <x v="3"/>
    <x v="1"/>
    <n v="1"/>
    <n v="1490"/>
    <n v="15"/>
    <n v="4"/>
    <n v="1266.5"/>
  </r>
  <r>
    <s v="ORD1011"/>
    <x v="11"/>
    <x v="11"/>
    <x v="1"/>
    <x v="10"/>
    <x v="0"/>
    <x v="4"/>
    <x v="2"/>
    <n v="1"/>
    <n v="1840"/>
    <n v="0"/>
    <n v="1"/>
    <n v="1840"/>
  </r>
  <r>
    <s v="ORD1012"/>
    <x v="12"/>
    <x v="12"/>
    <x v="1"/>
    <x v="11"/>
    <x v="3"/>
    <x v="1"/>
    <x v="1"/>
    <n v="3"/>
    <n v="2882"/>
    <n v="0"/>
    <n v="7"/>
    <n v="8646"/>
  </r>
  <r>
    <s v="ORD1013"/>
    <x v="13"/>
    <x v="13"/>
    <x v="1"/>
    <x v="12"/>
    <x v="0"/>
    <x v="1"/>
    <x v="0"/>
    <n v="4"/>
    <n v="1187"/>
    <n v="0"/>
    <n v="2"/>
    <n v="4748"/>
  </r>
  <r>
    <s v="ORD1014"/>
    <x v="14"/>
    <x v="14"/>
    <x v="0"/>
    <x v="13"/>
    <x v="3"/>
    <x v="3"/>
    <x v="3"/>
    <n v="2"/>
    <n v="1418"/>
    <n v="0"/>
    <n v="5"/>
    <n v="2836"/>
  </r>
  <r>
    <s v="ORD1015"/>
    <x v="15"/>
    <x v="15"/>
    <x v="0"/>
    <x v="14"/>
    <x v="3"/>
    <x v="3"/>
    <x v="2"/>
    <n v="2"/>
    <n v="1555"/>
    <n v="10"/>
    <n v="1"/>
    <n v="2799"/>
  </r>
  <r>
    <s v="ORD1016"/>
    <x v="16"/>
    <x v="16"/>
    <x v="0"/>
    <x v="15"/>
    <x v="2"/>
    <x v="4"/>
    <x v="1"/>
    <n v="5"/>
    <n v="4465"/>
    <n v="10"/>
    <n v="3"/>
    <n v="20092.5"/>
  </r>
  <r>
    <s v="ORD1017"/>
    <x v="17"/>
    <x v="17"/>
    <x v="0"/>
    <x v="16"/>
    <x v="0"/>
    <x v="2"/>
    <x v="0"/>
    <n v="5"/>
    <n v="4816"/>
    <n v="5"/>
    <n v="2"/>
    <n v="22876"/>
  </r>
  <r>
    <s v="ORD1018"/>
    <x v="18"/>
    <x v="18"/>
    <x v="1"/>
    <x v="17"/>
    <x v="2"/>
    <x v="4"/>
    <x v="3"/>
    <n v="2"/>
    <n v="4335"/>
    <n v="5"/>
    <n v="1"/>
    <n v="8236.5"/>
  </r>
  <r>
    <s v="ORD1019"/>
    <x v="19"/>
    <x v="19"/>
    <x v="1"/>
    <x v="18"/>
    <x v="0"/>
    <x v="3"/>
    <x v="2"/>
    <n v="5"/>
    <n v="1760"/>
    <n v="10"/>
    <n v="7"/>
    <n v="7920"/>
  </r>
  <r>
    <s v="ORD1020"/>
    <x v="20"/>
    <x v="20"/>
    <x v="0"/>
    <x v="19"/>
    <x v="0"/>
    <x v="3"/>
    <x v="3"/>
    <n v="3"/>
    <n v="1618"/>
    <n v="0"/>
    <n v="5"/>
    <n v="4854"/>
  </r>
  <r>
    <s v="ORD1021"/>
    <x v="21"/>
    <x v="21"/>
    <x v="1"/>
    <x v="20"/>
    <x v="1"/>
    <x v="0"/>
    <x v="0"/>
    <n v="2"/>
    <n v="1154"/>
    <n v="0"/>
    <n v="1"/>
    <n v="2308"/>
  </r>
  <r>
    <s v="ORD1022"/>
    <x v="22"/>
    <x v="22"/>
    <x v="1"/>
    <x v="21"/>
    <x v="0"/>
    <x v="3"/>
    <x v="2"/>
    <n v="5"/>
    <n v="1183"/>
    <n v="0"/>
    <n v="6"/>
    <n v="5915"/>
  </r>
  <r>
    <s v="ORD1023"/>
    <x v="23"/>
    <x v="23"/>
    <x v="1"/>
    <x v="22"/>
    <x v="2"/>
    <x v="0"/>
    <x v="3"/>
    <n v="2"/>
    <n v="1174"/>
    <n v="10"/>
    <n v="5"/>
    <n v="2113.1999999999998"/>
  </r>
  <r>
    <s v="ORD1024"/>
    <x v="24"/>
    <x v="24"/>
    <x v="0"/>
    <x v="23"/>
    <x v="3"/>
    <x v="2"/>
    <x v="1"/>
    <n v="4"/>
    <n v="4333"/>
    <n v="0"/>
    <n v="3"/>
    <n v="17332"/>
  </r>
  <r>
    <s v="ORD1025"/>
    <x v="25"/>
    <x v="25"/>
    <x v="0"/>
    <x v="24"/>
    <x v="0"/>
    <x v="4"/>
    <x v="2"/>
    <n v="1"/>
    <n v="4172"/>
    <n v="10"/>
    <n v="7"/>
    <n v="3754.8"/>
  </r>
  <r>
    <s v="ORD1026"/>
    <x v="26"/>
    <x v="26"/>
    <x v="1"/>
    <x v="25"/>
    <x v="1"/>
    <x v="4"/>
    <x v="3"/>
    <n v="2"/>
    <n v="1113"/>
    <n v="0"/>
    <n v="9"/>
    <n v="2226"/>
  </r>
  <r>
    <s v="ORD1027"/>
    <x v="27"/>
    <x v="27"/>
    <x v="0"/>
    <x v="20"/>
    <x v="2"/>
    <x v="0"/>
    <x v="0"/>
    <n v="1"/>
    <n v="4749"/>
    <n v="0"/>
    <n v="9"/>
    <n v="4749"/>
  </r>
  <r>
    <s v="ORD1028"/>
    <x v="28"/>
    <x v="28"/>
    <x v="0"/>
    <x v="26"/>
    <x v="0"/>
    <x v="4"/>
    <x v="0"/>
    <n v="5"/>
    <n v="236"/>
    <n v="0"/>
    <n v="9"/>
    <n v="1180"/>
  </r>
  <r>
    <s v="ORD1029"/>
    <x v="29"/>
    <x v="29"/>
    <x v="0"/>
    <x v="9"/>
    <x v="2"/>
    <x v="3"/>
    <x v="2"/>
    <n v="1"/>
    <n v="3587"/>
    <n v="5"/>
    <n v="2"/>
    <n v="3407.65"/>
  </r>
  <r>
    <s v="ORD1030"/>
    <x v="30"/>
    <x v="30"/>
    <x v="0"/>
    <x v="26"/>
    <x v="1"/>
    <x v="1"/>
    <x v="3"/>
    <n v="2"/>
    <n v="1911"/>
    <n v="15"/>
    <n v="3"/>
    <n v="3248.7"/>
  </r>
  <r>
    <s v="ORD1031"/>
    <x v="31"/>
    <x v="31"/>
    <x v="0"/>
    <x v="26"/>
    <x v="1"/>
    <x v="0"/>
    <x v="2"/>
    <n v="4"/>
    <n v="3220"/>
    <n v="10"/>
    <n v="7"/>
    <n v="11592"/>
  </r>
  <r>
    <s v="ORD1032"/>
    <x v="32"/>
    <x v="32"/>
    <x v="1"/>
    <x v="7"/>
    <x v="2"/>
    <x v="4"/>
    <x v="2"/>
    <n v="5"/>
    <n v="995"/>
    <n v="10"/>
    <n v="5"/>
    <n v="4477.5"/>
  </r>
  <r>
    <s v="ORD1033"/>
    <x v="33"/>
    <x v="33"/>
    <x v="0"/>
    <x v="27"/>
    <x v="0"/>
    <x v="0"/>
    <x v="3"/>
    <n v="2"/>
    <n v="4236"/>
    <n v="5"/>
    <n v="2"/>
    <n v="8048.4"/>
  </r>
  <r>
    <s v="ORD1034"/>
    <x v="34"/>
    <x v="34"/>
    <x v="1"/>
    <x v="21"/>
    <x v="3"/>
    <x v="0"/>
    <x v="3"/>
    <n v="5"/>
    <n v="4888"/>
    <n v="0"/>
    <n v="3"/>
    <n v="24440"/>
  </r>
  <r>
    <s v="ORD1035"/>
    <x v="35"/>
    <x v="35"/>
    <x v="1"/>
    <x v="28"/>
    <x v="1"/>
    <x v="1"/>
    <x v="1"/>
    <n v="3"/>
    <n v="3311"/>
    <n v="0"/>
    <n v="6"/>
    <n v="9933"/>
  </r>
  <r>
    <s v="ORD1036"/>
    <x v="36"/>
    <x v="36"/>
    <x v="0"/>
    <x v="3"/>
    <x v="0"/>
    <x v="3"/>
    <x v="3"/>
    <n v="1"/>
    <n v="1524"/>
    <n v="0"/>
    <n v="7"/>
    <n v="1524"/>
  </r>
  <r>
    <s v="ORD1037"/>
    <x v="37"/>
    <x v="37"/>
    <x v="1"/>
    <x v="16"/>
    <x v="0"/>
    <x v="0"/>
    <x v="0"/>
    <n v="3"/>
    <n v="517"/>
    <n v="0"/>
    <n v="9"/>
    <n v="1551"/>
  </r>
  <r>
    <s v="ORD1038"/>
    <x v="38"/>
    <x v="38"/>
    <x v="1"/>
    <x v="29"/>
    <x v="3"/>
    <x v="4"/>
    <x v="2"/>
    <n v="2"/>
    <n v="2596"/>
    <n v="15"/>
    <n v="1"/>
    <n v="4413.2"/>
  </r>
  <r>
    <s v="ORD1039"/>
    <x v="39"/>
    <x v="39"/>
    <x v="1"/>
    <x v="5"/>
    <x v="1"/>
    <x v="2"/>
    <x v="2"/>
    <n v="4"/>
    <n v="2362"/>
    <n v="5"/>
    <n v="7"/>
    <n v="8975.6"/>
  </r>
  <r>
    <s v="ORD1040"/>
    <x v="40"/>
    <x v="40"/>
    <x v="0"/>
    <x v="30"/>
    <x v="1"/>
    <x v="0"/>
    <x v="0"/>
    <n v="5"/>
    <n v="2945"/>
    <n v="5"/>
    <n v="8"/>
    <n v="13988.75"/>
  </r>
  <r>
    <s v="ORD1041"/>
    <x v="41"/>
    <x v="41"/>
    <x v="0"/>
    <x v="27"/>
    <x v="0"/>
    <x v="0"/>
    <x v="3"/>
    <n v="1"/>
    <n v="1791"/>
    <n v="10"/>
    <n v="3"/>
    <n v="1611.9"/>
  </r>
  <r>
    <s v="ORD1042"/>
    <x v="42"/>
    <x v="42"/>
    <x v="1"/>
    <x v="25"/>
    <x v="0"/>
    <x v="1"/>
    <x v="0"/>
    <n v="5"/>
    <n v="3311"/>
    <n v="5"/>
    <n v="4"/>
    <n v="15727.25"/>
  </r>
  <r>
    <s v="ORD1043"/>
    <x v="43"/>
    <x v="43"/>
    <x v="0"/>
    <x v="31"/>
    <x v="3"/>
    <x v="3"/>
    <x v="0"/>
    <n v="2"/>
    <n v="4130"/>
    <n v="15"/>
    <n v="6"/>
    <n v="7021"/>
  </r>
  <r>
    <s v="ORD1044"/>
    <x v="44"/>
    <x v="44"/>
    <x v="0"/>
    <x v="8"/>
    <x v="3"/>
    <x v="2"/>
    <x v="1"/>
    <n v="5"/>
    <n v="2196"/>
    <n v="0"/>
    <n v="7"/>
    <n v="10980"/>
  </r>
  <r>
    <s v="ORD1045"/>
    <x v="45"/>
    <x v="45"/>
    <x v="0"/>
    <x v="2"/>
    <x v="1"/>
    <x v="4"/>
    <x v="0"/>
    <n v="1"/>
    <n v="1512"/>
    <n v="5"/>
    <n v="4"/>
    <n v="1436.4"/>
  </r>
  <r>
    <s v="ORD1046"/>
    <x v="46"/>
    <x v="46"/>
    <x v="0"/>
    <x v="17"/>
    <x v="2"/>
    <x v="2"/>
    <x v="2"/>
    <n v="2"/>
    <n v="1485"/>
    <n v="0"/>
    <n v="8"/>
    <n v="2970"/>
  </r>
  <r>
    <s v="ORD1047"/>
    <x v="47"/>
    <x v="47"/>
    <x v="1"/>
    <x v="11"/>
    <x v="1"/>
    <x v="4"/>
    <x v="0"/>
    <n v="5"/>
    <n v="4511"/>
    <n v="5"/>
    <n v="5"/>
    <n v="21427.25"/>
  </r>
  <r>
    <s v="ORD1048"/>
    <x v="48"/>
    <x v="48"/>
    <x v="1"/>
    <x v="7"/>
    <x v="0"/>
    <x v="3"/>
    <x v="2"/>
    <n v="4"/>
    <n v="2583"/>
    <n v="0"/>
    <n v="1"/>
    <n v="10332"/>
  </r>
  <r>
    <s v="ORD1049"/>
    <x v="49"/>
    <x v="49"/>
    <x v="0"/>
    <x v="31"/>
    <x v="1"/>
    <x v="4"/>
    <x v="2"/>
    <n v="2"/>
    <n v="3439"/>
    <n v="0"/>
    <n v="4"/>
    <n v="6878"/>
  </r>
  <r>
    <s v="ORD1050"/>
    <x v="50"/>
    <x v="50"/>
    <x v="0"/>
    <x v="32"/>
    <x v="2"/>
    <x v="1"/>
    <x v="2"/>
    <n v="2"/>
    <n v="2339"/>
    <n v="10"/>
    <n v="3"/>
    <n v="4210.2"/>
  </r>
  <r>
    <s v="ORD1051"/>
    <x v="51"/>
    <x v="51"/>
    <x v="1"/>
    <x v="1"/>
    <x v="3"/>
    <x v="1"/>
    <x v="3"/>
    <n v="4"/>
    <n v="1904"/>
    <n v="10"/>
    <n v="9"/>
    <n v="6854.4000000000005"/>
  </r>
  <r>
    <s v="ORD1052"/>
    <x v="52"/>
    <x v="52"/>
    <x v="1"/>
    <x v="32"/>
    <x v="2"/>
    <x v="1"/>
    <x v="1"/>
    <n v="3"/>
    <n v="562"/>
    <n v="10"/>
    <n v="8"/>
    <n v="1517.4"/>
  </r>
  <r>
    <s v="ORD1053"/>
    <x v="53"/>
    <x v="19"/>
    <x v="0"/>
    <x v="22"/>
    <x v="2"/>
    <x v="1"/>
    <x v="2"/>
    <n v="1"/>
    <n v="2804"/>
    <n v="0"/>
    <n v="1"/>
    <n v="2804"/>
  </r>
  <r>
    <s v="ORD1054"/>
    <x v="54"/>
    <x v="53"/>
    <x v="1"/>
    <x v="0"/>
    <x v="2"/>
    <x v="2"/>
    <x v="2"/>
    <n v="3"/>
    <n v="1916"/>
    <n v="10"/>
    <n v="6"/>
    <n v="5173.2"/>
  </r>
  <r>
    <s v="ORD1055"/>
    <x v="55"/>
    <x v="54"/>
    <x v="0"/>
    <x v="28"/>
    <x v="3"/>
    <x v="3"/>
    <x v="3"/>
    <n v="5"/>
    <n v="4651"/>
    <n v="0"/>
    <n v="9"/>
    <n v="23255"/>
  </r>
  <r>
    <s v="ORD1056"/>
    <x v="56"/>
    <x v="55"/>
    <x v="0"/>
    <x v="0"/>
    <x v="2"/>
    <x v="4"/>
    <x v="2"/>
    <n v="4"/>
    <n v="4486"/>
    <n v="0"/>
    <n v="7"/>
    <n v="17944"/>
  </r>
  <r>
    <s v="ORD1057"/>
    <x v="57"/>
    <x v="7"/>
    <x v="1"/>
    <x v="20"/>
    <x v="2"/>
    <x v="4"/>
    <x v="0"/>
    <n v="3"/>
    <n v="3938"/>
    <n v="0"/>
    <n v="4"/>
    <n v="11814"/>
  </r>
  <r>
    <s v="ORD1058"/>
    <x v="58"/>
    <x v="56"/>
    <x v="1"/>
    <x v="4"/>
    <x v="2"/>
    <x v="1"/>
    <x v="0"/>
    <n v="2"/>
    <n v="2669"/>
    <n v="0"/>
    <n v="1"/>
    <n v="5338"/>
  </r>
  <r>
    <s v="ORD1059"/>
    <x v="59"/>
    <x v="57"/>
    <x v="0"/>
    <x v="19"/>
    <x v="0"/>
    <x v="1"/>
    <x v="1"/>
    <n v="5"/>
    <n v="4995"/>
    <n v="0"/>
    <n v="2"/>
    <n v="24975"/>
  </r>
  <r>
    <s v="ORD1060"/>
    <x v="60"/>
    <x v="58"/>
    <x v="0"/>
    <x v="15"/>
    <x v="2"/>
    <x v="0"/>
    <x v="2"/>
    <n v="5"/>
    <n v="756"/>
    <n v="15"/>
    <n v="5"/>
    <n v="3213"/>
  </r>
  <r>
    <s v="ORD1061"/>
    <x v="61"/>
    <x v="59"/>
    <x v="1"/>
    <x v="15"/>
    <x v="3"/>
    <x v="3"/>
    <x v="3"/>
    <n v="3"/>
    <n v="1025"/>
    <n v="5"/>
    <n v="5"/>
    <n v="2921.25"/>
  </r>
  <r>
    <s v="ORD1062"/>
    <x v="62"/>
    <x v="60"/>
    <x v="0"/>
    <x v="23"/>
    <x v="2"/>
    <x v="2"/>
    <x v="0"/>
    <n v="3"/>
    <n v="3008"/>
    <n v="0"/>
    <n v="8"/>
    <n v="9024"/>
  </r>
  <r>
    <s v="ORD1063"/>
    <x v="63"/>
    <x v="61"/>
    <x v="1"/>
    <x v="25"/>
    <x v="2"/>
    <x v="4"/>
    <x v="3"/>
    <n v="4"/>
    <n v="4721"/>
    <n v="15"/>
    <n v="6"/>
    <n v="16051.4"/>
  </r>
  <r>
    <s v="ORD1064"/>
    <x v="64"/>
    <x v="62"/>
    <x v="0"/>
    <x v="9"/>
    <x v="3"/>
    <x v="0"/>
    <x v="3"/>
    <n v="1"/>
    <n v="2919"/>
    <n v="5"/>
    <n v="8"/>
    <n v="2773.05"/>
  </r>
  <r>
    <s v="ORD1065"/>
    <x v="65"/>
    <x v="63"/>
    <x v="1"/>
    <x v="2"/>
    <x v="2"/>
    <x v="0"/>
    <x v="0"/>
    <n v="3"/>
    <n v="3708"/>
    <n v="5"/>
    <n v="2"/>
    <n v="10567.8"/>
  </r>
  <r>
    <s v="ORD1066"/>
    <x v="66"/>
    <x v="64"/>
    <x v="1"/>
    <x v="15"/>
    <x v="3"/>
    <x v="4"/>
    <x v="3"/>
    <n v="3"/>
    <n v="3941"/>
    <n v="0"/>
    <n v="3"/>
    <n v="11823"/>
  </r>
  <r>
    <s v="ORD1067"/>
    <x v="67"/>
    <x v="65"/>
    <x v="1"/>
    <x v="17"/>
    <x v="2"/>
    <x v="2"/>
    <x v="0"/>
    <n v="2"/>
    <n v="1774"/>
    <n v="5"/>
    <n v="6"/>
    <n v="3370.6"/>
  </r>
  <r>
    <s v="ORD1068"/>
    <x v="68"/>
    <x v="66"/>
    <x v="0"/>
    <x v="5"/>
    <x v="3"/>
    <x v="0"/>
    <x v="3"/>
    <n v="5"/>
    <n v="4198"/>
    <n v="0"/>
    <n v="3"/>
    <n v="20990"/>
  </r>
  <r>
    <s v="ORD1069"/>
    <x v="69"/>
    <x v="67"/>
    <x v="0"/>
    <x v="29"/>
    <x v="2"/>
    <x v="0"/>
    <x v="0"/>
    <n v="1"/>
    <n v="2329"/>
    <n v="0"/>
    <n v="6"/>
    <n v="2329"/>
  </r>
  <r>
    <s v="ORD1070"/>
    <x v="70"/>
    <x v="68"/>
    <x v="1"/>
    <x v="26"/>
    <x v="2"/>
    <x v="3"/>
    <x v="2"/>
    <n v="2"/>
    <n v="2603"/>
    <n v="0"/>
    <n v="6"/>
    <n v="5206"/>
  </r>
  <r>
    <s v="ORD1071"/>
    <x v="71"/>
    <x v="69"/>
    <x v="0"/>
    <x v="6"/>
    <x v="0"/>
    <x v="2"/>
    <x v="1"/>
    <n v="4"/>
    <n v="3529"/>
    <n v="0"/>
    <n v="2"/>
    <n v="14116"/>
  </r>
  <r>
    <s v="ORD1072"/>
    <x v="72"/>
    <x v="70"/>
    <x v="1"/>
    <x v="33"/>
    <x v="0"/>
    <x v="0"/>
    <x v="0"/>
    <n v="4"/>
    <n v="788"/>
    <n v="10"/>
    <n v="7"/>
    <n v="2836.8"/>
  </r>
  <r>
    <s v="ORD1073"/>
    <x v="73"/>
    <x v="71"/>
    <x v="1"/>
    <x v="19"/>
    <x v="2"/>
    <x v="2"/>
    <x v="0"/>
    <n v="3"/>
    <n v="2212"/>
    <n v="0"/>
    <n v="2"/>
    <n v="6636"/>
  </r>
  <r>
    <s v="ORD1074"/>
    <x v="74"/>
    <x v="72"/>
    <x v="0"/>
    <x v="0"/>
    <x v="2"/>
    <x v="4"/>
    <x v="1"/>
    <n v="3"/>
    <n v="1747"/>
    <n v="10"/>
    <n v="6"/>
    <n v="4716.9000000000005"/>
  </r>
  <r>
    <s v="ORD1075"/>
    <x v="75"/>
    <x v="73"/>
    <x v="0"/>
    <x v="17"/>
    <x v="1"/>
    <x v="1"/>
    <x v="0"/>
    <n v="4"/>
    <n v="494"/>
    <n v="0"/>
    <n v="1"/>
    <n v="1976"/>
  </r>
  <r>
    <s v="ORD1076"/>
    <x v="76"/>
    <x v="74"/>
    <x v="1"/>
    <x v="28"/>
    <x v="3"/>
    <x v="0"/>
    <x v="0"/>
    <n v="3"/>
    <n v="2185"/>
    <n v="0"/>
    <n v="3"/>
    <n v="6555"/>
  </r>
  <r>
    <s v="ORD1077"/>
    <x v="77"/>
    <x v="75"/>
    <x v="0"/>
    <x v="26"/>
    <x v="1"/>
    <x v="3"/>
    <x v="3"/>
    <n v="1"/>
    <n v="3317"/>
    <n v="5"/>
    <n v="2"/>
    <n v="3151.15"/>
  </r>
  <r>
    <s v="ORD1078"/>
    <x v="78"/>
    <x v="76"/>
    <x v="0"/>
    <x v="6"/>
    <x v="0"/>
    <x v="4"/>
    <x v="1"/>
    <n v="3"/>
    <n v="1890"/>
    <n v="0"/>
    <n v="7"/>
    <n v="5670"/>
  </r>
  <r>
    <s v="ORD1079"/>
    <x v="79"/>
    <x v="77"/>
    <x v="1"/>
    <x v="18"/>
    <x v="0"/>
    <x v="2"/>
    <x v="2"/>
    <n v="5"/>
    <n v="1336"/>
    <n v="0"/>
    <n v="4"/>
    <n v="6680"/>
  </r>
  <r>
    <s v="ORD1080"/>
    <x v="80"/>
    <x v="78"/>
    <x v="1"/>
    <x v="22"/>
    <x v="0"/>
    <x v="4"/>
    <x v="0"/>
    <n v="3"/>
    <n v="2264"/>
    <n v="0"/>
    <n v="8"/>
    <n v="6792"/>
  </r>
  <r>
    <s v="ORD1081"/>
    <x v="81"/>
    <x v="17"/>
    <x v="0"/>
    <x v="29"/>
    <x v="0"/>
    <x v="0"/>
    <x v="1"/>
    <n v="2"/>
    <n v="4655"/>
    <n v="5"/>
    <n v="6"/>
    <n v="8844.5"/>
  </r>
  <r>
    <s v="ORD1082"/>
    <x v="82"/>
    <x v="59"/>
    <x v="1"/>
    <x v="31"/>
    <x v="2"/>
    <x v="2"/>
    <x v="3"/>
    <n v="1"/>
    <n v="4995"/>
    <n v="0"/>
    <n v="4"/>
    <n v="4995"/>
  </r>
  <r>
    <s v="ORD1083"/>
    <x v="83"/>
    <x v="79"/>
    <x v="1"/>
    <x v="29"/>
    <x v="0"/>
    <x v="1"/>
    <x v="2"/>
    <n v="2"/>
    <n v="4743"/>
    <n v="15"/>
    <n v="5"/>
    <n v="8063.0999999999995"/>
  </r>
  <r>
    <s v="ORD1084"/>
    <x v="84"/>
    <x v="80"/>
    <x v="0"/>
    <x v="19"/>
    <x v="2"/>
    <x v="4"/>
    <x v="1"/>
    <n v="2"/>
    <n v="4970"/>
    <n v="5"/>
    <n v="9"/>
    <n v="9443"/>
  </r>
  <r>
    <s v="ORD1085"/>
    <x v="85"/>
    <x v="81"/>
    <x v="1"/>
    <x v="17"/>
    <x v="2"/>
    <x v="0"/>
    <x v="2"/>
    <n v="5"/>
    <n v="1207"/>
    <n v="0"/>
    <n v="7"/>
    <n v="6035"/>
  </r>
  <r>
    <s v="ORD1086"/>
    <x v="86"/>
    <x v="82"/>
    <x v="1"/>
    <x v="0"/>
    <x v="0"/>
    <x v="3"/>
    <x v="2"/>
    <n v="1"/>
    <n v="2714"/>
    <n v="10"/>
    <n v="9"/>
    <n v="2442.6"/>
  </r>
  <r>
    <s v="ORD1087"/>
    <x v="87"/>
    <x v="83"/>
    <x v="0"/>
    <x v="0"/>
    <x v="0"/>
    <x v="2"/>
    <x v="2"/>
    <n v="1"/>
    <n v="3726"/>
    <n v="10"/>
    <n v="7"/>
    <n v="3353.4"/>
  </r>
  <r>
    <s v="ORD1088"/>
    <x v="88"/>
    <x v="84"/>
    <x v="0"/>
    <x v="34"/>
    <x v="3"/>
    <x v="4"/>
    <x v="0"/>
    <n v="1"/>
    <n v="4881"/>
    <n v="0"/>
    <n v="1"/>
    <n v="4881"/>
  </r>
  <r>
    <s v="ORD1089"/>
    <x v="89"/>
    <x v="85"/>
    <x v="1"/>
    <x v="5"/>
    <x v="1"/>
    <x v="4"/>
    <x v="0"/>
    <n v="1"/>
    <n v="1447"/>
    <n v="0"/>
    <n v="8"/>
    <n v="1447"/>
  </r>
  <r>
    <s v="ORD1090"/>
    <x v="90"/>
    <x v="86"/>
    <x v="1"/>
    <x v="13"/>
    <x v="0"/>
    <x v="1"/>
    <x v="3"/>
    <n v="1"/>
    <n v="4102"/>
    <n v="0"/>
    <n v="4"/>
    <n v="4102"/>
  </r>
  <r>
    <s v="ORD1091"/>
    <x v="91"/>
    <x v="87"/>
    <x v="0"/>
    <x v="3"/>
    <x v="3"/>
    <x v="1"/>
    <x v="3"/>
    <n v="5"/>
    <n v="1635"/>
    <n v="10"/>
    <n v="3"/>
    <n v="7357.5"/>
  </r>
  <r>
    <s v="ORD1092"/>
    <x v="92"/>
    <x v="88"/>
    <x v="0"/>
    <x v="31"/>
    <x v="3"/>
    <x v="3"/>
    <x v="1"/>
    <n v="3"/>
    <n v="771"/>
    <n v="10"/>
    <n v="7"/>
    <n v="2081.6999999999998"/>
  </r>
  <r>
    <s v="ORD1093"/>
    <x v="93"/>
    <x v="89"/>
    <x v="0"/>
    <x v="28"/>
    <x v="1"/>
    <x v="3"/>
    <x v="3"/>
    <n v="2"/>
    <n v="2582"/>
    <n v="5"/>
    <n v="3"/>
    <n v="4905.8"/>
  </r>
  <r>
    <s v="ORD1094"/>
    <x v="94"/>
    <x v="90"/>
    <x v="0"/>
    <x v="20"/>
    <x v="2"/>
    <x v="0"/>
    <x v="2"/>
    <n v="1"/>
    <n v="1445"/>
    <n v="15"/>
    <n v="8"/>
    <n v="1228.25"/>
  </r>
  <r>
    <s v="ORD1095"/>
    <x v="95"/>
    <x v="91"/>
    <x v="1"/>
    <x v="35"/>
    <x v="0"/>
    <x v="0"/>
    <x v="2"/>
    <n v="3"/>
    <n v="2284"/>
    <n v="15"/>
    <n v="6"/>
    <n v="5824.2"/>
  </r>
  <r>
    <s v="ORD1096"/>
    <x v="96"/>
    <x v="92"/>
    <x v="0"/>
    <x v="29"/>
    <x v="1"/>
    <x v="3"/>
    <x v="0"/>
    <n v="3"/>
    <n v="477"/>
    <n v="5"/>
    <n v="5"/>
    <n v="1359.45"/>
  </r>
  <r>
    <s v="ORD1097"/>
    <x v="97"/>
    <x v="93"/>
    <x v="0"/>
    <x v="13"/>
    <x v="0"/>
    <x v="3"/>
    <x v="2"/>
    <n v="2"/>
    <n v="2087"/>
    <n v="15"/>
    <n v="4"/>
    <n v="3547.9"/>
  </r>
  <r>
    <s v="ORD1098"/>
    <x v="98"/>
    <x v="94"/>
    <x v="1"/>
    <x v="23"/>
    <x v="3"/>
    <x v="2"/>
    <x v="1"/>
    <n v="5"/>
    <n v="4779"/>
    <n v="0"/>
    <n v="8"/>
    <n v="23895"/>
  </r>
  <r>
    <s v="ORD1099"/>
    <x v="99"/>
    <x v="3"/>
    <x v="0"/>
    <x v="36"/>
    <x v="3"/>
    <x v="1"/>
    <x v="2"/>
    <n v="4"/>
    <n v="1465"/>
    <n v="0"/>
    <n v="8"/>
    <n v="5860"/>
  </r>
  <r>
    <s v="ORD1100"/>
    <x v="100"/>
    <x v="95"/>
    <x v="1"/>
    <x v="35"/>
    <x v="2"/>
    <x v="0"/>
    <x v="2"/>
    <n v="4"/>
    <n v="1240"/>
    <n v="0"/>
    <n v="1"/>
    <n v="4960"/>
  </r>
  <r>
    <s v="ORD1101"/>
    <x v="101"/>
    <x v="96"/>
    <x v="0"/>
    <x v="32"/>
    <x v="3"/>
    <x v="1"/>
    <x v="1"/>
    <n v="3"/>
    <n v="1117"/>
    <n v="0"/>
    <n v="9"/>
    <n v="3351"/>
  </r>
  <r>
    <s v="ORD1102"/>
    <x v="102"/>
    <x v="97"/>
    <x v="0"/>
    <x v="25"/>
    <x v="3"/>
    <x v="1"/>
    <x v="3"/>
    <n v="2"/>
    <n v="1085"/>
    <n v="5"/>
    <n v="5"/>
    <n v="2061.5"/>
  </r>
  <r>
    <s v="ORD1103"/>
    <x v="103"/>
    <x v="98"/>
    <x v="0"/>
    <x v="15"/>
    <x v="1"/>
    <x v="3"/>
    <x v="3"/>
    <n v="4"/>
    <n v="2952"/>
    <n v="0"/>
    <n v="4"/>
    <n v="11808"/>
  </r>
  <r>
    <s v="ORD1104"/>
    <x v="104"/>
    <x v="99"/>
    <x v="1"/>
    <x v="29"/>
    <x v="0"/>
    <x v="2"/>
    <x v="1"/>
    <n v="3"/>
    <n v="221"/>
    <n v="0"/>
    <n v="6"/>
    <n v="663"/>
  </r>
  <r>
    <s v="ORD1105"/>
    <x v="105"/>
    <x v="100"/>
    <x v="1"/>
    <x v="30"/>
    <x v="0"/>
    <x v="4"/>
    <x v="0"/>
    <n v="5"/>
    <n v="4769"/>
    <n v="0"/>
    <n v="6"/>
    <n v="23845"/>
  </r>
  <r>
    <s v="ORD1106"/>
    <x v="106"/>
    <x v="101"/>
    <x v="0"/>
    <x v="17"/>
    <x v="1"/>
    <x v="2"/>
    <x v="2"/>
    <n v="4"/>
    <n v="3391"/>
    <n v="5"/>
    <n v="2"/>
    <n v="12885.8"/>
  </r>
  <r>
    <s v="ORD1107"/>
    <x v="107"/>
    <x v="102"/>
    <x v="1"/>
    <x v="10"/>
    <x v="2"/>
    <x v="2"/>
    <x v="1"/>
    <n v="3"/>
    <n v="2553"/>
    <n v="0"/>
    <n v="8"/>
    <n v="7659"/>
  </r>
  <r>
    <s v="ORD1108"/>
    <x v="108"/>
    <x v="103"/>
    <x v="1"/>
    <x v="17"/>
    <x v="0"/>
    <x v="1"/>
    <x v="2"/>
    <n v="3"/>
    <n v="4999"/>
    <n v="0"/>
    <n v="7"/>
    <n v="14997"/>
  </r>
  <r>
    <s v="ORD1109"/>
    <x v="109"/>
    <x v="104"/>
    <x v="1"/>
    <x v="24"/>
    <x v="3"/>
    <x v="2"/>
    <x v="0"/>
    <n v="1"/>
    <n v="886"/>
    <n v="5"/>
    <n v="1"/>
    <n v="841.69999999999993"/>
  </r>
  <r>
    <s v="ORD1110"/>
    <x v="110"/>
    <x v="105"/>
    <x v="1"/>
    <x v="22"/>
    <x v="0"/>
    <x v="0"/>
    <x v="2"/>
    <n v="5"/>
    <n v="484"/>
    <n v="0"/>
    <n v="5"/>
    <n v="2420"/>
  </r>
  <r>
    <s v="ORD1111"/>
    <x v="111"/>
    <x v="106"/>
    <x v="1"/>
    <x v="25"/>
    <x v="3"/>
    <x v="1"/>
    <x v="1"/>
    <n v="1"/>
    <n v="3947"/>
    <n v="0"/>
    <n v="6"/>
    <n v="3947"/>
  </r>
  <r>
    <s v="ORD1112"/>
    <x v="112"/>
    <x v="107"/>
    <x v="1"/>
    <x v="37"/>
    <x v="2"/>
    <x v="0"/>
    <x v="2"/>
    <n v="2"/>
    <n v="962"/>
    <n v="0"/>
    <n v="4"/>
    <n v="1924"/>
  </r>
  <r>
    <s v="ORD1113"/>
    <x v="113"/>
    <x v="108"/>
    <x v="0"/>
    <x v="14"/>
    <x v="1"/>
    <x v="4"/>
    <x v="3"/>
    <n v="1"/>
    <n v="2628"/>
    <n v="0"/>
    <n v="2"/>
    <n v="2628"/>
  </r>
  <r>
    <s v="ORD1114"/>
    <x v="114"/>
    <x v="109"/>
    <x v="0"/>
    <x v="10"/>
    <x v="0"/>
    <x v="1"/>
    <x v="0"/>
    <n v="1"/>
    <n v="2707"/>
    <n v="0"/>
    <n v="4"/>
    <n v="2707"/>
  </r>
  <r>
    <s v="ORD1115"/>
    <x v="115"/>
    <x v="110"/>
    <x v="1"/>
    <x v="19"/>
    <x v="1"/>
    <x v="4"/>
    <x v="0"/>
    <n v="4"/>
    <n v="228"/>
    <n v="0"/>
    <n v="1"/>
    <n v="912"/>
  </r>
  <r>
    <s v="ORD1116"/>
    <x v="116"/>
    <x v="111"/>
    <x v="0"/>
    <x v="8"/>
    <x v="0"/>
    <x v="1"/>
    <x v="0"/>
    <n v="3"/>
    <n v="1106"/>
    <n v="10"/>
    <n v="7"/>
    <n v="2986.2"/>
  </r>
  <r>
    <s v="ORD1117"/>
    <x v="117"/>
    <x v="112"/>
    <x v="0"/>
    <x v="3"/>
    <x v="3"/>
    <x v="3"/>
    <x v="1"/>
    <n v="5"/>
    <n v="3304"/>
    <n v="15"/>
    <n v="2"/>
    <n v="14042"/>
  </r>
  <r>
    <s v="ORD1118"/>
    <x v="118"/>
    <x v="113"/>
    <x v="0"/>
    <x v="3"/>
    <x v="1"/>
    <x v="2"/>
    <x v="0"/>
    <n v="1"/>
    <n v="4199"/>
    <n v="5"/>
    <n v="2"/>
    <n v="3989.05"/>
  </r>
  <r>
    <s v="ORD1119"/>
    <x v="119"/>
    <x v="114"/>
    <x v="0"/>
    <x v="28"/>
    <x v="0"/>
    <x v="3"/>
    <x v="3"/>
    <n v="5"/>
    <n v="3194"/>
    <n v="5"/>
    <n v="9"/>
    <n v="15171.5"/>
  </r>
  <r>
    <s v="ORD1120"/>
    <x v="120"/>
    <x v="115"/>
    <x v="1"/>
    <x v="19"/>
    <x v="3"/>
    <x v="4"/>
    <x v="1"/>
    <n v="1"/>
    <n v="2706"/>
    <n v="5"/>
    <n v="5"/>
    <n v="2570.6999999999998"/>
  </r>
  <r>
    <s v="ORD1121"/>
    <x v="121"/>
    <x v="116"/>
    <x v="0"/>
    <x v="33"/>
    <x v="1"/>
    <x v="2"/>
    <x v="3"/>
    <n v="2"/>
    <n v="4865"/>
    <n v="10"/>
    <n v="2"/>
    <n v="8757"/>
  </r>
  <r>
    <s v="ORD1122"/>
    <x v="122"/>
    <x v="117"/>
    <x v="0"/>
    <x v="15"/>
    <x v="1"/>
    <x v="1"/>
    <x v="2"/>
    <n v="1"/>
    <n v="3809"/>
    <n v="0"/>
    <n v="9"/>
    <n v="3809"/>
  </r>
  <r>
    <s v="ORD1123"/>
    <x v="123"/>
    <x v="36"/>
    <x v="1"/>
    <x v="3"/>
    <x v="0"/>
    <x v="2"/>
    <x v="2"/>
    <n v="4"/>
    <n v="3753"/>
    <n v="0"/>
    <n v="9"/>
    <n v="15012"/>
  </r>
  <r>
    <s v="ORD1124"/>
    <x v="124"/>
    <x v="118"/>
    <x v="1"/>
    <x v="2"/>
    <x v="0"/>
    <x v="0"/>
    <x v="2"/>
    <n v="3"/>
    <n v="1653"/>
    <n v="0"/>
    <n v="1"/>
    <n v="4959"/>
  </r>
  <r>
    <s v="ORD1125"/>
    <x v="125"/>
    <x v="119"/>
    <x v="0"/>
    <x v="35"/>
    <x v="0"/>
    <x v="2"/>
    <x v="2"/>
    <n v="2"/>
    <n v="3556"/>
    <n v="10"/>
    <n v="3"/>
    <n v="6400.8"/>
  </r>
  <r>
    <s v="ORD1126"/>
    <x v="126"/>
    <x v="23"/>
    <x v="0"/>
    <x v="6"/>
    <x v="3"/>
    <x v="0"/>
    <x v="3"/>
    <n v="1"/>
    <n v="715"/>
    <n v="0"/>
    <n v="4"/>
    <n v="715"/>
  </r>
  <r>
    <s v="ORD1127"/>
    <x v="127"/>
    <x v="120"/>
    <x v="0"/>
    <x v="11"/>
    <x v="0"/>
    <x v="2"/>
    <x v="1"/>
    <n v="5"/>
    <n v="238"/>
    <n v="10"/>
    <n v="7"/>
    <n v="1071"/>
  </r>
  <r>
    <s v="ORD1128"/>
    <x v="128"/>
    <x v="121"/>
    <x v="0"/>
    <x v="19"/>
    <x v="1"/>
    <x v="0"/>
    <x v="1"/>
    <n v="2"/>
    <n v="3542"/>
    <n v="0"/>
    <n v="4"/>
    <n v="7084"/>
  </r>
  <r>
    <s v="ORD1129"/>
    <x v="129"/>
    <x v="122"/>
    <x v="0"/>
    <x v="36"/>
    <x v="1"/>
    <x v="4"/>
    <x v="0"/>
    <n v="2"/>
    <n v="1086"/>
    <n v="0"/>
    <n v="2"/>
    <n v="2172"/>
  </r>
  <r>
    <s v="ORD1130"/>
    <x v="130"/>
    <x v="123"/>
    <x v="0"/>
    <x v="24"/>
    <x v="0"/>
    <x v="3"/>
    <x v="3"/>
    <n v="1"/>
    <n v="3044"/>
    <n v="10"/>
    <n v="7"/>
    <n v="2739.6"/>
  </r>
  <r>
    <s v="ORD1131"/>
    <x v="131"/>
    <x v="124"/>
    <x v="1"/>
    <x v="8"/>
    <x v="0"/>
    <x v="1"/>
    <x v="2"/>
    <n v="2"/>
    <n v="2404"/>
    <n v="5"/>
    <n v="6"/>
    <n v="4567.5999999999995"/>
  </r>
  <r>
    <s v="ORD1132"/>
    <x v="132"/>
    <x v="125"/>
    <x v="0"/>
    <x v="20"/>
    <x v="2"/>
    <x v="2"/>
    <x v="3"/>
    <n v="5"/>
    <n v="1298"/>
    <n v="15"/>
    <n v="3"/>
    <n v="5516.5"/>
  </r>
  <r>
    <s v="ORD1133"/>
    <x v="133"/>
    <x v="126"/>
    <x v="0"/>
    <x v="1"/>
    <x v="1"/>
    <x v="3"/>
    <x v="0"/>
    <n v="2"/>
    <n v="2023"/>
    <n v="0"/>
    <n v="6"/>
    <n v="4046"/>
  </r>
  <r>
    <s v="ORD1134"/>
    <x v="134"/>
    <x v="127"/>
    <x v="1"/>
    <x v="0"/>
    <x v="3"/>
    <x v="1"/>
    <x v="0"/>
    <n v="5"/>
    <n v="3401"/>
    <n v="10"/>
    <n v="6"/>
    <n v="15304.5"/>
  </r>
  <r>
    <s v="ORD1135"/>
    <x v="135"/>
    <x v="128"/>
    <x v="1"/>
    <x v="16"/>
    <x v="2"/>
    <x v="1"/>
    <x v="3"/>
    <n v="1"/>
    <n v="3355"/>
    <n v="15"/>
    <n v="5"/>
    <n v="2851.75"/>
  </r>
  <r>
    <s v="ORD1136"/>
    <x v="136"/>
    <x v="129"/>
    <x v="1"/>
    <x v="6"/>
    <x v="0"/>
    <x v="0"/>
    <x v="3"/>
    <n v="3"/>
    <n v="3293"/>
    <n v="0"/>
    <n v="4"/>
    <n v="9879"/>
  </r>
  <r>
    <s v="ORD1137"/>
    <x v="137"/>
    <x v="130"/>
    <x v="1"/>
    <x v="0"/>
    <x v="0"/>
    <x v="4"/>
    <x v="3"/>
    <n v="2"/>
    <n v="3730"/>
    <n v="10"/>
    <n v="1"/>
    <n v="6714"/>
  </r>
  <r>
    <s v="ORD1138"/>
    <x v="138"/>
    <x v="131"/>
    <x v="0"/>
    <x v="35"/>
    <x v="1"/>
    <x v="4"/>
    <x v="1"/>
    <n v="3"/>
    <n v="3978"/>
    <n v="5"/>
    <n v="6"/>
    <n v="11337.3"/>
  </r>
  <r>
    <s v="ORD1139"/>
    <x v="139"/>
    <x v="132"/>
    <x v="0"/>
    <x v="0"/>
    <x v="0"/>
    <x v="3"/>
    <x v="2"/>
    <n v="5"/>
    <n v="3096"/>
    <n v="10"/>
    <n v="2"/>
    <n v="13932"/>
  </r>
  <r>
    <s v="ORD1140"/>
    <x v="140"/>
    <x v="133"/>
    <x v="0"/>
    <x v="23"/>
    <x v="3"/>
    <x v="4"/>
    <x v="3"/>
    <n v="2"/>
    <n v="3653"/>
    <n v="15"/>
    <n v="3"/>
    <n v="6210.0999999999995"/>
  </r>
  <r>
    <s v="ORD1141"/>
    <x v="141"/>
    <x v="134"/>
    <x v="0"/>
    <x v="38"/>
    <x v="1"/>
    <x v="2"/>
    <x v="3"/>
    <n v="4"/>
    <n v="3711"/>
    <n v="5"/>
    <n v="8"/>
    <n v="14101.8"/>
  </r>
  <r>
    <s v="ORD1142"/>
    <x v="142"/>
    <x v="113"/>
    <x v="0"/>
    <x v="12"/>
    <x v="0"/>
    <x v="4"/>
    <x v="3"/>
    <n v="3"/>
    <n v="1188"/>
    <n v="0"/>
    <n v="6"/>
    <n v="3564"/>
  </r>
  <r>
    <s v="ORD1143"/>
    <x v="143"/>
    <x v="135"/>
    <x v="0"/>
    <x v="30"/>
    <x v="1"/>
    <x v="3"/>
    <x v="0"/>
    <n v="2"/>
    <n v="4316"/>
    <n v="0"/>
    <n v="3"/>
    <n v="8632"/>
  </r>
  <r>
    <s v="ORD1144"/>
    <x v="144"/>
    <x v="136"/>
    <x v="1"/>
    <x v="39"/>
    <x v="0"/>
    <x v="4"/>
    <x v="0"/>
    <n v="3"/>
    <n v="4226"/>
    <n v="10"/>
    <n v="7"/>
    <n v="11410.2"/>
  </r>
  <r>
    <s v="ORD1145"/>
    <x v="145"/>
    <x v="137"/>
    <x v="0"/>
    <x v="6"/>
    <x v="0"/>
    <x v="2"/>
    <x v="1"/>
    <n v="2"/>
    <n v="4379"/>
    <n v="10"/>
    <n v="4"/>
    <n v="7882.2"/>
  </r>
  <r>
    <s v="ORD1146"/>
    <x v="146"/>
    <x v="138"/>
    <x v="1"/>
    <x v="13"/>
    <x v="0"/>
    <x v="0"/>
    <x v="2"/>
    <n v="1"/>
    <n v="1882"/>
    <n v="0"/>
    <n v="9"/>
    <n v="1882"/>
  </r>
  <r>
    <s v="ORD1147"/>
    <x v="147"/>
    <x v="139"/>
    <x v="1"/>
    <x v="9"/>
    <x v="3"/>
    <x v="3"/>
    <x v="1"/>
    <n v="3"/>
    <n v="4865"/>
    <n v="10"/>
    <n v="5"/>
    <n v="13135.5"/>
  </r>
  <r>
    <s v="ORD1148"/>
    <x v="148"/>
    <x v="140"/>
    <x v="0"/>
    <x v="34"/>
    <x v="3"/>
    <x v="0"/>
    <x v="2"/>
    <n v="4"/>
    <n v="4163"/>
    <n v="0"/>
    <n v="3"/>
    <n v="16652"/>
  </r>
  <r>
    <s v="ORD1149"/>
    <x v="149"/>
    <x v="141"/>
    <x v="1"/>
    <x v="13"/>
    <x v="1"/>
    <x v="0"/>
    <x v="0"/>
    <n v="4"/>
    <n v="1133"/>
    <n v="10"/>
    <n v="2"/>
    <n v="4078.8"/>
  </r>
  <r>
    <s v="ORD1150"/>
    <x v="150"/>
    <x v="142"/>
    <x v="0"/>
    <x v="35"/>
    <x v="0"/>
    <x v="0"/>
    <x v="0"/>
    <n v="5"/>
    <n v="3798"/>
    <n v="0"/>
    <n v="2"/>
    <n v="18990"/>
  </r>
  <r>
    <s v="ORD1151"/>
    <x v="151"/>
    <x v="143"/>
    <x v="1"/>
    <x v="28"/>
    <x v="0"/>
    <x v="1"/>
    <x v="0"/>
    <n v="2"/>
    <n v="3433"/>
    <n v="10"/>
    <n v="3"/>
    <n v="6179.4000000000005"/>
  </r>
  <r>
    <s v="ORD1152"/>
    <x v="152"/>
    <x v="144"/>
    <x v="0"/>
    <x v="4"/>
    <x v="3"/>
    <x v="1"/>
    <x v="1"/>
    <n v="3"/>
    <n v="2180"/>
    <n v="0"/>
    <n v="2"/>
    <n v="6540"/>
  </r>
  <r>
    <s v="ORD1153"/>
    <x v="153"/>
    <x v="145"/>
    <x v="1"/>
    <x v="10"/>
    <x v="0"/>
    <x v="0"/>
    <x v="3"/>
    <n v="5"/>
    <n v="2055"/>
    <n v="0"/>
    <n v="4"/>
    <n v="10275"/>
  </r>
  <r>
    <s v="ORD1154"/>
    <x v="154"/>
    <x v="146"/>
    <x v="0"/>
    <x v="8"/>
    <x v="3"/>
    <x v="3"/>
    <x v="3"/>
    <n v="3"/>
    <n v="3256"/>
    <n v="0"/>
    <n v="2"/>
    <n v="9768"/>
  </r>
  <r>
    <s v="ORD1155"/>
    <x v="155"/>
    <x v="147"/>
    <x v="0"/>
    <x v="8"/>
    <x v="0"/>
    <x v="2"/>
    <x v="0"/>
    <n v="2"/>
    <n v="992"/>
    <n v="5"/>
    <n v="9"/>
    <n v="1884.8"/>
  </r>
  <r>
    <s v="ORD1156"/>
    <x v="156"/>
    <x v="148"/>
    <x v="0"/>
    <x v="13"/>
    <x v="1"/>
    <x v="2"/>
    <x v="3"/>
    <n v="4"/>
    <n v="991"/>
    <n v="15"/>
    <n v="2"/>
    <n v="3369.4"/>
  </r>
  <r>
    <s v="ORD1157"/>
    <x v="157"/>
    <x v="17"/>
    <x v="0"/>
    <x v="40"/>
    <x v="0"/>
    <x v="4"/>
    <x v="3"/>
    <n v="1"/>
    <n v="2009"/>
    <n v="10"/>
    <n v="9"/>
    <n v="1808.1"/>
  </r>
  <r>
    <s v="ORD1158"/>
    <x v="158"/>
    <x v="149"/>
    <x v="0"/>
    <x v="5"/>
    <x v="0"/>
    <x v="3"/>
    <x v="1"/>
    <n v="4"/>
    <n v="2455"/>
    <n v="5"/>
    <n v="6"/>
    <n v="9329"/>
  </r>
  <r>
    <s v="ORD1159"/>
    <x v="159"/>
    <x v="150"/>
    <x v="1"/>
    <x v="25"/>
    <x v="2"/>
    <x v="1"/>
    <x v="2"/>
    <n v="5"/>
    <n v="3810"/>
    <n v="10"/>
    <n v="1"/>
    <n v="17145"/>
  </r>
  <r>
    <s v="ORD1160"/>
    <x v="160"/>
    <x v="151"/>
    <x v="1"/>
    <x v="10"/>
    <x v="3"/>
    <x v="0"/>
    <x v="0"/>
    <n v="1"/>
    <n v="1807"/>
    <n v="15"/>
    <n v="4"/>
    <n v="1535.95"/>
  </r>
  <r>
    <s v="ORD1161"/>
    <x v="161"/>
    <x v="152"/>
    <x v="1"/>
    <x v="20"/>
    <x v="0"/>
    <x v="4"/>
    <x v="0"/>
    <n v="5"/>
    <n v="1184"/>
    <n v="5"/>
    <n v="1"/>
    <n v="5624"/>
  </r>
  <r>
    <s v="ORD1162"/>
    <x v="162"/>
    <x v="96"/>
    <x v="0"/>
    <x v="25"/>
    <x v="0"/>
    <x v="2"/>
    <x v="1"/>
    <n v="2"/>
    <n v="3876"/>
    <n v="0"/>
    <n v="6"/>
    <n v="7752"/>
  </r>
  <r>
    <s v="ORD1163"/>
    <x v="163"/>
    <x v="153"/>
    <x v="1"/>
    <x v="28"/>
    <x v="2"/>
    <x v="1"/>
    <x v="1"/>
    <n v="1"/>
    <n v="3580"/>
    <n v="10"/>
    <n v="4"/>
    <n v="3222"/>
  </r>
  <r>
    <s v="ORD1164"/>
    <x v="164"/>
    <x v="154"/>
    <x v="0"/>
    <x v="19"/>
    <x v="2"/>
    <x v="1"/>
    <x v="3"/>
    <n v="5"/>
    <n v="719"/>
    <n v="15"/>
    <n v="3"/>
    <n v="3055.75"/>
  </r>
  <r>
    <s v="ORD1165"/>
    <x v="165"/>
    <x v="155"/>
    <x v="0"/>
    <x v="11"/>
    <x v="3"/>
    <x v="0"/>
    <x v="0"/>
    <n v="2"/>
    <n v="790"/>
    <n v="10"/>
    <n v="3"/>
    <n v="1422"/>
  </r>
  <r>
    <s v="ORD1166"/>
    <x v="166"/>
    <x v="156"/>
    <x v="1"/>
    <x v="20"/>
    <x v="2"/>
    <x v="2"/>
    <x v="2"/>
    <n v="4"/>
    <n v="1250"/>
    <n v="10"/>
    <n v="9"/>
    <n v="4500"/>
  </r>
  <r>
    <s v="ORD1167"/>
    <x v="167"/>
    <x v="142"/>
    <x v="1"/>
    <x v="9"/>
    <x v="1"/>
    <x v="3"/>
    <x v="1"/>
    <n v="2"/>
    <n v="3833"/>
    <n v="5"/>
    <n v="6"/>
    <n v="7282.7"/>
  </r>
  <r>
    <s v="ORD1168"/>
    <x v="168"/>
    <x v="157"/>
    <x v="0"/>
    <x v="8"/>
    <x v="2"/>
    <x v="1"/>
    <x v="2"/>
    <n v="3"/>
    <n v="4644"/>
    <n v="15"/>
    <n v="9"/>
    <n v="11842.2"/>
  </r>
  <r>
    <s v="ORD1169"/>
    <x v="169"/>
    <x v="158"/>
    <x v="1"/>
    <x v="38"/>
    <x v="1"/>
    <x v="0"/>
    <x v="2"/>
    <n v="2"/>
    <n v="1159"/>
    <n v="0"/>
    <n v="5"/>
    <n v="2318"/>
  </r>
  <r>
    <s v="ORD1170"/>
    <x v="170"/>
    <x v="159"/>
    <x v="0"/>
    <x v="31"/>
    <x v="3"/>
    <x v="3"/>
    <x v="0"/>
    <n v="2"/>
    <n v="892"/>
    <n v="5"/>
    <n v="2"/>
    <n v="1694.8"/>
  </r>
  <r>
    <s v="ORD1171"/>
    <x v="171"/>
    <x v="160"/>
    <x v="0"/>
    <x v="1"/>
    <x v="3"/>
    <x v="2"/>
    <x v="0"/>
    <n v="3"/>
    <n v="4099"/>
    <n v="0"/>
    <n v="8"/>
    <n v="12297"/>
  </r>
  <r>
    <s v="ORD1172"/>
    <x v="172"/>
    <x v="161"/>
    <x v="0"/>
    <x v="14"/>
    <x v="3"/>
    <x v="1"/>
    <x v="1"/>
    <n v="5"/>
    <n v="4673"/>
    <n v="0"/>
    <n v="5"/>
    <n v="23365"/>
  </r>
  <r>
    <s v="ORD1173"/>
    <x v="173"/>
    <x v="162"/>
    <x v="0"/>
    <x v="9"/>
    <x v="3"/>
    <x v="3"/>
    <x v="0"/>
    <n v="5"/>
    <n v="3146"/>
    <n v="0"/>
    <n v="2"/>
    <n v="15730"/>
  </r>
  <r>
    <s v="ORD1174"/>
    <x v="174"/>
    <x v="115"/>
    <x v="0"/>
    <x v="26"/>
    <x v="3"/>
    <x v="3"/>
    <x v="0"/>
    <n v="2"/>
    <n v="726"/>
    <n v="0"/>
    <n v="4"/>
    <n v="1452"/>
  </r>
  <r>
    <s v="ORD1175"/>
    <x v="175"/>
    <x v="163"/>
    <x v="1"/>
    <x v="11"/>
    <x v="1"/>
    <x v="3"/>
    <x v="0"/>
    <n v="3"/>
    <n v="3424"/>
    <n v="10"/>
    <n v="9"/>
    <n v="9244.8000000000011"/>
  </r>
  <r>
    <s v="ORD1176"/>
    <x v="176"/>
    <x v="164"/>
    <x v="1"/>
    <x v="32"/>
    <x v="1"/>
    <x v="1"/>
    <x v="2"/>
    <n v="3"/>
    <n v="2453"/>
    <n v="0"/>
    <n v="4"/>
    <n v="7359"/>
  </r>
  <r>
    <s v="ORD1177"/>
    <x v="177"/>
    <x v="165"/>
    <x v="0"/>
    <x v="13"/>
    <x v="3"/>
    <x v="1"/>
    <x v="1"/>
    <n v="4"/>
    <n v="3544"/>
    <n v="5"/>
    <n v="4"/>
    <n v="13467.2"/>
  </r>
  <r>
    <s v="ORD1178"/>
    <x v="178"/>
    <x v="166"/>
    <x v="0"/>
    <x v="19"/>
    <x v="2"/>
    <x v="4"/>
    <x v="3"/>
    <n v="5"/>
    <n v="4165"/>
    <n v="0"/>
    <n v="2"/>
    <n v="20825"/>
  </r>
  <r>
    <s v="ORD1179"/>
    <x v="179"/>
    <x v="167"/>
    <x v="1"/>
    <x v="38"/>
    <x v="0"/>
    <x v="2"/>
    <x v="2"/>
    <n v="1"/>
    <n v="2075"/>
    <n v="0"/>
    <n v="6"/>
    <n v="2075"/>
  </r>
  <r>
    <s v="ORD1180"/>
    <x v="180"/>
    <x v="168"/>
    <x v="1"/>
    <x v="32"/>
    <x v="3"/>
    <x v="0"/>
    <x v="0"/>
    <n v="5"/>
    <n v="1963"/>
    <n v="0"/>
    <n v="2"/>
    <n v="9815"/>
  </r>
  <r>
    <s v="ORD1181"/>
    <x v="181"/>
    <x v="169"/>
    <x v="0"/>
    <x v="19"/>
    <x v="2"/>
    <x v="3"/>
    <x v="2"/>
    <n v="5"/>
    <n v="720"/>
    <n v="0"/>
    <n v="7"/>
    <n v="3600"/>
  </r>
  <r>
    <s v="ORD1182"/>
    <x v="182"/>
    <x v="170"/>
    <x v="1"/>
    <x v="4"/>
    <x v="0"/>
    <x v="4"/>
    <x v="0"/>
    <n v="4"/>
    <n v="1216"/>
    <n v="10"/>
    <n v="3"/>
    <n v="4377.6000000000004"/>
  </r>
  <r>
    <s v="ORD1183"/>
    <x v="183"/>
    <x v="171"/>
    <x v="0"/>
    <x v="12"/>
    <x v="3"/>
    <x v="0"/>
    <x v="0"/>
    <n v="1"/>
    <n v="316"/>
    <n v="10"/>
    <n v="3"/>
    <n v="284.39999999999998"/>
  </r>
  <r>
    <s v="ORD1184"/>
    <x v="184"/>
    <x v="172"/>
    <x v="1"/>
    <x v="22"/>
    <x v="3"/>
    <x v="4"/>
    <x v="2"/>
    <n v="4"/>
    <n v="2633"/>
    <n v="10"/>
    <n v="5"/>
    <n v="9478.8000000000011"/>
  </r>
  <r>
    <s v="ORD1185"/>
    <x v="185"/>
    <x v="173"/>
    <x v="0"/>
    <x v="18"/>
    <x v="1"/>
    <x v="1"/>
    <x v="1"/>
    <n v="1"/>
    <n v="783"/>
    <n v="5"/>
    <n v="3"/>
    <n v="743.84999999999991"/>
  </r>
  <r>
    <s v="ORD1186"/>
    <x v="186"/>
    <x v="174"/>
    <x v="1"/>
    <x v="36"/>
    <x v="0"/>
    <x v="3"/>
    <x v="0"/>
    <n v="2"/>
    <n v="594"/>
    <n v="0"/>
    <n v="2"/>
    <n v="1188"/>
  </r>
  <r>
    <s v="ORD1187"/>
    <x v="187"/>
    <x v="53"/>
    <x v="0"/>
    <x v="32"/>
    <x v="0"/>
    <x v="0"/>
    <x v="1"/>
    <n v="1"/>
    <n v="3988"/>
    <n v="15"/>
    <n v="9"/>
    <n v="3389.8"/>
  </r>
  <r>
    <s v="ORD1188"/>
    <x v="188"/>
    <x v="143"/>
    <x v="1"/>
    <x v="17"/>
    <x v="2"/>
    <x v="0"/>
    <x v="3"/>
    <n v="4"/>
    <n v="2968"/>
    <n v="5"/>
    <n v="2"/>
    <n v="11278.4"/>
  </r>
  <r>
    <s v="ORD1189"/>
    <x v="189"/>
    <x v="134"/>
    <x v="1"/>
    <x v="29"/>
    <x v="1"/>
    <x v="0"/>
    <x v="0"/>
    <n v="5"/>
    <n v="4367"/>
    <n v="5"/>
    <n v="2"/>
    <n v="20743.25"/>
  </r>
  <r>
    <s v="ORD1190"/>
    <x v="190"/>
    <x v="103"/>
    <x v="0"/>
    <x v="8"/>
    <x v="1"/>
    <x v="0"/>
    <x v="1"/>
    <n v="1"/>
    <n v="4060"/>
    <n v="0"/>
    <n v="8"/>
    <n v="4060"/>
  </r>
  <r>
    <s v="ORD1191"/>
    <x v="191"/>
    <x v="175"/>
    <x v="1"/>
    <x v="19"/>
    <x v="1"/>
    <x v="0"/>
    <x v="1"/>
    <n v="1"/>
    <n v="473"/>
    <n v="0"/>
    <n v="9"/>
    <n v="473"/>
  </r>
  <r>
    <s v="ORD1192"/>
    <x v="192"/>
    <x v="176"/>
    <x v="0"/>
    <x v="9"/>
    <x v="1"/>
    <x v="4"/>
    <x v="3"/>
    <n v="3"/>
    <n v="2213"/>
    <n v="0"/>
    <n v="7"/>
    <n v="6639"/>
  </r>
  <r>
    <s v="ORD1193"/>
    <x v="193"/>
    <x v="177"/>
    <x v="1"/>
    <x v="34"/>
    <x v="0"/>
    <x v="3"/>
    <x v="1"/>
    <n v="5"/>
    <n v="4633"/>
    <n v="0"/>
    <n v="3"/>
    <n v="23165"/>
  </r>
  <r>
    <s v="ORD1194"/>
    <x v="194"/>
    <x v="178"/>
    <x v="0"/>
    <x v="13"/>
    <x v="0"/>
    <x v="1"/>
    <x v="1"/>
    <n v="2"/>
    <n v="1589"/>
    <n v="5"/>
    <n v="9"/>
    <n v="3019.1"/>
  </r>
  <r>
    <s v="ORD1195"/>
    <x v="195"/>
    <x v="179"/>
    <x v="1"/>
    <x v="20"/>
    <x v="3"/>
    <x v="1"/>
    <x v="3"/>
    <n v="4"/>
    <n v="3766"/>
    <n v="5"/>
    <n v="3"/>
    <n v="14310.8"/>
  </r>
  <r>
    <s v="ORD1196"/>
    <x v="196"/>
    <x v="180"/>
    <x v="0"/>
    <x v="17"/>
    <x v="3"/>
    <x v="1"/>
    <x v="0"/>
    <n v="2"/>
    <n v="4902"/>
    <n v="10"/>
    <n v="5"/>
    <n v="8823.6"/>
  </r>
  <r>
    <s v="ORD1197"/>
    <x v="197"/>
    <x v="118"/>
    <x v="1"/>
    <x v="5"/>
    <x v="1"/>
    <x v="1"/>
    <x v="1"/>
    <n v="5"/>
    <n v="365"/>
    <n v="10"/>
    <n v="9"/>
    <n v="1642.5"/>
  </r>
  <r>
    <s v="ORD1198"/>
    <x v="198"/>
    <x v="181"/>
    <x v="0"/>
    <x v="7"/>
    <x v="1"/>
    <x v="4"/>
    <x v="1"/>
    <n v="1"/>
    <n v="1767"/>
    <n v="15"/>
    <n v="3"/>
    <n v="1501.95"/>
  </r>
  <r>
    <s v="ORD1199"/>
    <x v="199"/>
    <x v="182"/>
    <x v="1"/>
    <x v="5"/>
    <x v="1"/>
    <x v="2"/>
    <x v="1"/>
    <n v="1"/>
    <n v="928"/>
    <n v="10"/>
    <n v="7"/>
    <n v="835.2"/>
  </r>
  <r>
    <s v="ORD1200"/>
    <x v="200"/>
    <x v="183"/>
    <x v="0"/>
    <x v="18"/>
    <x v="3"/>
    <x v="3"/>
    <x v="2"/>
    <n v="5"/>
    <n v="2243"/>
    <n v="0"/>
    <n v="1"/>
    <n v="11215"/>
  </r>
  <r>
    <s v="ORD1201"/>
    <x v="201"/>
    <x v="184"/>
    <x v="0"/>
    <x v="36"/>
    <x v="2"/>
    <x v="0"/>
    <x v="3"/>
    <n v="1"/>
    <n v="4397"/>
    <n v="0"/>
    <n v="4"/>
    <n v="4397"/>
  </r>
  <r>
    <s v="ORD1202"/>
    <x v="202"/>
    <x v="185"/>
    <x v="0"/>
    <x v="29"/>
    <x v="2"/>
    <x v="2"/>
    <x v="2"/>
    <n v="1"/>
    <n v="3696"/>
    <n v="0"/>
    <n v="4"/>
    <n v="3696"/>
  </r>
  <r>
    <s v="ORD1203"/>
    <x v="203"/>
    <x v="41"/>
    <x v="1"/>
    <x v="8"/>
    <x v="3"/>
    <x v="1"/>
    <x v="3"/>
    <n v="1"/>
    <n v="978"/>
    <n v="0"/>
    <n v="7"/>
    <n v="978"/>
  </r>
  <r>
    <s v="ORD1204"/>
    <x v="204"/>
    <x v="186"/>
    <x v="0"/>
    <x v="20"/>
    <x v="3"/>
    <x v="2"/>
    <x v="0"/>
    <n v="4"/>
    <n v="413"/>
    <n v="10"/>
    <n v="8"/>
    <n v="1486.8"/>
  </r>
  <r>
    <s v="ORD1205"/>
    <x v="205"/>
    <x v="144"/>
    <x v="1"/>
    <x v="6"/>
    <x v="3"/>
    <x v="3"/>
    <x v="0"/>
    <n v="4"/>
    <n v="3962"/>
    <n v="15"/>
    <n v="1"/>
    <n v="13470.8"/>
  </r>
  <r>
    <s v="ORD1206"/>
    <x v="206"/>
    <x v="187"/>
    <x v="0"/>
    <x v="39"/>
    <x v="3"/>
    <x v="0"/>
    <x v="1"/>
    <n v="3"/>
    <n v="1776"/>
    <n v="0"/>
    <n v="5"/>
    <n v="5328"/>
  </r>
  <r>
    <s v="ORD1207"/>
    <x v="207"/>
    <x v="184"/>
    <x v="1"/>
    <x v="40"/>
    <x v="3"/>
    <x v="0"/>
    <x v="3"/>
    <n v="2"/>
    <n v="2648"/>
    <n v="0"/>
    <n v="7"/>
    <n v="5296"/>
  </r>
  <r>
    <s v="ORD1208"/>
    <x v="208"/>
    <x v="135"/>
    <x v="0"/>
    <x v="19"/>
    <x v="3"/>
    <x v="3"/>
    <x v="0"/>
    <n v="5"/>
    <n v="3136"/>
    <n v="0"/>
    <n v="4"/>
    <n v="15680"/>
  </r>
  <r>
    <s v="ORD1209"/>
    <x v="209"/>
    <x v="188"/>
    <x v="1"/>
    <x v="4"/>
    <x v="1"/>
    <x v="3"/>
    <x v="3"/>
    <n v="5"/>
    <n v="3317"/>
    <n v="0"/>
    <n v="4"/>
    <n v="16585"/>
  </r>
  <r>
    <s v="ORD1210"/>
    <x v="210"/>
    <x v="89"/>
    <x v="1"/>
    <x v="35"/>
    <x v="1"/>
    <x v="1"/>
    <x v="0"/>
    <n v="5"/>
    <n v="791"/>
    <n v="0"/>
    <n v="4"/>
    <n v="3955"/>
  </r>
  <r>
    <s v="ORD1211"/>
    <x v="211"/>
    <x v="68"/>
    <x v="0"/>
    <x v="1"/>
    <x v="1"/>
    <x v="0"/>
    <x v="2"/>
    <n v="3"/>
    <n v="2920"/>
    <n v="0"/>
    <n v="6"/>
    <n v="8760"/>
  </r>
  <r>
    <s v="ORD1212"/>
    <x v="212"/>
    <x v="189"/>
    <x v="1"/>
    <x v="41"/>
    <x v="1"/>
    <x v="2"/>
    <x v="0"/>
    <n v="4"/>
    <n v="913"/>
    <n v="5"/>
    <n v="7"/>
    <n v="3469.4"/>
  </r>
  <r>
    <s v="ORD1213"/>
    <x v="213"/>
    <x v="12"/>
    <x v="1"/>
    <x v="12"/>
    <x v="3"/>
    <x v="4"/>
    <x v="2"/>
    <n v="3"/>
    <n v="1135"/>
    <n v="0"/>
    <n v="2"/>
    <n v="3405"/>
  </r>
  <r>
    <s v="ORD1214"/>
    <x v="214"/>
    <x v="190"/>
    <x v="0"/>
    <x v="11"/>
    <x v="2"/>
    <x v="4"/>
    <x v="0"/>
    <n v="5"/>
    <n v="4537"/>
    <n v="0"/>
    <n v="5"/>
    <n v="22685"/>
  </r>
  <r>
    <s v="ORD1215"/>
    <x v="215"/>
    <x v="191"/>
    <x v="1"/>
    <x v="2"/>
    <x v="0"/>
    <x v="3"/>
    <x v="1"/>
    <n v="2"/>
    <n v="201"/>
    <n v="0"/>
    <n v="4"/>
    <n v="402"/>
  </r>
  <r>
    <s v="ORD1216"/>
    <x v="216"/>
    <x v="192"/>
    <x v="1"/>
    <x v="7"/>
    <x v="3"/>
    <x v="1"/>
    <x v="2"/>
    <n v="1"/>
    <n v="3048"/>
    <n v="15"/>
    <n v="3"/>
    <n v="2590.8000000000002"/>
  </r>
  <r>
    <s v="ORD1217"/>
    <x v="217"/>
    <x v="193"/>
    <x v="1"/>
    <x v="4"/>
    <x v="0"/>
    <x v="4"/>
    <x v="0"/>
    <n v="4"/>
    <n v="4244"/>
    <n v="5"/>
    <n v="7"/>
    <n v="16127.2"/>
  </r>
  <r>
    <s v="ORD1218"/>
    <x v="218"/>
    <x v="134"/>
    <x v="0"/>
    <x v="37"/>
    <x v="2"/>
    <x v="0"/>
    <x v="1"/>
    <n v="4"/>
    <n v="2149"/>
    <n v="0"/>
    <n v="6"/>
    <n v="8596"/>
  </r>
  <r>
    <s v="ORD1219"/>
    <x v="219"/>
    <x v="45"/>
    <x v="1"/>
    <x v="24"/>
    <x v="1"/>
    <x v="3"/>
    <x v="2"/>
    <n v="3"/>
    <n v="1117"/>
    <n v="10"/>
    <n v="7"/>
    <n v="3015.9"/>
  </r>
  <r>
    <s v="ORD1220"/>
    <x v="220"/>
    <x v="194"/>
    <x v="0"/>
    <x v="29"/>
    <x v="2"/>
    <x v="2"/>
    <x v="1"/>
    <n v="4"/>
    <n v="3374"/>
    <n v="10"/>
    <n v="5"/>
    <n v="12146.4"/>
  </r>
  <r>
    <s v="ORD1221"/>
    <x v="221"/>
    <x v="195"/>
    <x v="1"/>
    <x v="6"/>
    <x v="3"/>
    <x v="3"/>
    <x v="3"/>
    <n v="5"/>
    <n v="2441"/>
    <n v="0"/>
    <n v="6"/>
    <n v="12205"/>
  </r>
  <r>
    <s v="ORD1222"/>
    <x v="222"/>
    <x v="196"/>
    <x v="1"/>
    <x v="28"/>
    <x v="1"/>
    <x v="2"/>
    <x v="3"/>
    <n v="5"/>
    <n v="289"/>
    <n v="5"/>
    <n v="5"/>
    <n v="1372.75"/>
  </r>
  <r>
    <s v="ORD1223"/>
    <x v="223"/>
    <x v="197"/>
    <x v="1"/>
    <x v="41"/>
    <x v="3"/>
    <x v="3"/>
    <x v="2"/>
    <n v="3"/>
    <n v="1909"/>
    <n v="0"/>
    <n v="7"/>
    <n v="5727"/>
  </r>
  <r>
    <s v="ORD1224"/>
    <x v="224"/>
    <x v="198"/>
    <x v="0"/>
    <x v="32"/>
    <x v="1"/>
    <x v="3"/>
    <x v="0"/>
    <n v="5"/>
    <n v="2369"/>
    <n v="0"/>
    <n v="2"/>
    <n v="11845"/>
  </r>
  <r>
    <s v="ORD1225"/>
    <x v="225"/>
    <x v="199"/>
    <x v="1"/>
    <x v="16"/>
    <x v="0"/>
    <x v="3"/>
    <x v="2"/>
    <n v="2"/>
    <n v="4438"/>
    <n v="10"/>
    <n v="5"/>
    <n v="7988.4000000000005"/>
  </r>
  <r>
    <s v="ORD1226"/>
    <x v="226"/>
    <x v="200"/>
    <x v="1"/>
    <x v="15"/>
    <x v="0"/>
    <x v="2"/>
    <x v="1"/>
    <n v="3"/>
    <n v="3241"/>
    <n v="0"/>
    <n v="6"/>
    <n v="9723"/>
  </r>
  <r>
    <s v="ORD1227"/>
    <x v="227"/>
    <x v="201"/>
    <x v="0"/>
    <x v="26"/>
    <x v="0"/>
    <x v="2"/>
    <x v="0"/>
    <n v="2"/>
    <n v="305"/>
    <n v="5"/>
    <n v="6"/>
    <n v="579.5"/>
  </r>
  <r>
    <s v="ORD1228"/>
    <x v="228"/>
    <x v="202"/>
    <x v="1"/>
    <x v="1"/>
    <x v="2"/>
    <x v="3"/>
    <x v="3"/>
    <n v="1"/>
    <n v="1086"/>
    <n v="10"/>
    <n v="5"/>
    <n v="977.4"/>
  </r>
  <r>
    <s v="ORD1229"/>
    <x v="229"/>
    <x v="203"/>
    <x v="0"/>
    <x v="12"/>
    <x v="3"/>
    <x v="4"/>
    <x v="0"/>
    <n v="2"/>
    <n v="627"/>
    <n v="0"/>
    <n v="7"/>
    <n v="1254"/>
  </r>
  <r>
    <s v="ORD1230"/>
    <x v="230"/>
    <x v="95"/>
    <x v="0"/>
    <x v="9"/>
    <x v="2"/>
    <x v="1"/>
    <x v="3"/>
    <n v="1"/>
    <n v="2095"/>
    <n v="5"/>
    <n v="8"/>
    <n v="1990.25"/>
  </r>
  <r>
    <s v="ORD1231"/>
    <x v="231"/>
    <x v="204"/>
    <x v="1"/>
    <x v="30"/>
    <x v="0"/>
    <x v="1"/>
    <x v="0"/>
    <n v="1"/>
    <n v="516"/>
    <n v="0"/>
    <n v="7"/>
    <n v="516"/>
  </r>
  <r>
    <s v="ORD1232"/>
    <x v="232"/>
    <x v="205"/>
    <x v="0"/>
    <x v="13"/>
    <x v="3"/>
    <x v="1"/>
    <x v="0"/>
    <n v="2"/>
    <n v="834"/>
    <n v="0"/>
    <n v="5"/>
    <n v="1668"/>
  </r>
  <r>
    <s v="ORD1233"/>
    <x v="233"/>
    <x v="206"/>
    <x v="1"/>
    <x v="27"/>
    <x v="0"/>
    <x v="2"/>
    <x v="0"/>
    <n v="3"/>
    <n v="2125"/>
    <n v="5"/>
    <n v="1"/>
    <n v="6056.25"/>
  </r>
  <r>
    <s v="ORD1234"/>
    <x v="234"/>
    <x v="207"/>
    <x v="0"/>
    <x v="36"/>
    <x v="2"/>
    <x v="2"/>
    <x v="1"/>
    <n v="5"/>
    <n v="2256"/>
    <n v="15"/>
    <n v="5"/>
    <n v="9588"/>
  </r>
  <r>
    <s v="ORD1235"/>
    <x v="235"/>
    <x v="194"/>
    <x v="0"/>
    <x v="32"/>
    <x v="2"/>
    <x v="4"/>
    <x v="1"/>
    <n v="5"/>
    <n v="3344"/>
    <n v="5"/>
    <n v="2"/>
    <n v="15884"/>
  </r>
  <r>
    <s v="ORD1236"/>
    <x v="236"/>
    <x v="54"/>
    <x v="1"/>
    <x v="5"/>
    <x v="2"/>
    <x v="1"/>
    <x v="2"/>
    <n v="1"/>
    <n v="2470"/>
    <n v="0"/>
    <n v="5"/>
    <n v="2470"/>
  </r>
  <r>
    <s v="ORD1237"/>
    <x v="237"/>
    <x v="208"/>
    <x v="0"/>
    <x v="37"/>
    <x v="0"/>
    <x v="1"/>
    <x v="2"/>
    <n v="1"/>
    <n v="1639"/>
    <n v="10"/>
    <n v="5"/>
    <n v="1475.1"/>
  </r>
  <r>
    <s v="ORD1238"/>
    <x v="238"/>
    <x v="148"/>
    <x v="0"/>
    <x v="35"/>
    <x v="3"/>
    <x v="3"/>
    <x v="3"/>
    <n v="3"/>
    <n v="752"/>
    <n v="0"/>
    <n v="2"/>
    <n v="2256"/>
  </r>
  <r>
    <s v="ORD1239"/>
    <x v="239"/>
    <x v="18"/>
    <x v="0"/>
    <x v="0"/>
    <x v="3"/>
    <x v="2"/>
    <x v="1"/>
    <n v="4"/>
    <n v="915"/>
    <n v="10"/>
    <n v="5"/>
    <n v="3294"/>
  </r>
  <r>
    <s v="ORD1240"/>
    <x v="240"/>
    <x v="209"/>
    <x v="0"/>
    <x v="32"/>
    <x v="0"/>
    <x v="1"/>
    <x v="3"/>
    <n v="2"/>
    <n v="4111"/>
    <n v="15"/>
    <n v="4"/>
    <n v="6988.7"/>
  </r>
  <r>
    <s v="ORD1241"/>
    <x v="241"/>
    <x v="210"/>
    <x v="0"/>
    <x v="5"/>
    <x v="3"/>
    <x v="4"/>
    <x v="2"/>
    <n v="1"/>
    <n v="1913"/>
    <n v="15"/>
    <n v="1"/>
    <n v="1626.05"/>
  </r>
  <r>
    <s v="ORD1242"/>
    <x v="242"/>
    <x v="211"/>
    <x v="1"/>
    <x v="33"/>
    <x v="0"/>
    <x v="4"/>
    <x v="3"/>
    <n v="5"/>
    <n v="3589"/>
    <n v="0"/>
    <n v="3"/>
    <n v="17945"/>
  </r>
  <r>
    <s v="ORD1243"/>
    <x v="243"/>
    <x v="212"/>
    <x v="0"/>
    <x v="11"/>
    <x v="3"/>
    <x v="1"/>
    <x v="2"/>
    <n v="3"/>
    <n v="1307"/>
    <n v="0"/>
    <n v="1"/>
    <n v="3921"/>
  </r>
  <r>
    <s v="ORD1244"/>
    <x v="244"/>
    <x v="122"/>
    <x v="1"/>
    <x v="22"/>
    <x v="1"/>
    <x v="2"/>
    <x v="1"/>
    <n v="2"/>
    <n v="4406"/>
    <n v="10"/>
    <n v="5"/>
    <n v="7930.8"/>
  </r>
  <r>
    <s v="ORD1245"/>
    <x v="245"/>
    <x v="213"/>
    <x v="0"/>
    <x v="14"/>
    <x v="1"/>
    <x v="4"/>
    <x v="0"/>
    <n v="3"/>
    <n v="450"/>
    <n v="5"/>
    <n v="4"/>
    <n v="1282.5"/>
  </r>
  <r>
    <s v="ORD1246"/>
    <x v="246"/>
    <x v="214"/>
    <x v="1"/>
    <x v="22"/>
    <x v="2"/>
    <x v="3"/>
    <x v="1"/>
    <n v="2"/>
    <n v="2630"/>
    <n v="15"/>
    <n v="7"/>
    <n v="4471"/>
  </r>
  <r>
    <s v="ORD1247"/>
    <x v="247"/>
    <x v="215"/>
    <x v="1"/>
    <x v="16"/>
    <x v="1"/>
    <x v="4"/>
    <x v="3"/>
    <n v="2"/>
    <n v="2254"/>
    <n v="0"/>
    <n v="5"/>
    <n v="4508"/>
  </r>
  <r>
    <s v="ORD1248"/>
    <x v="248"/>
    <x v="216"/>
    <x v="0"/>
    <x v="38"/>
    <x v="1"/>
    <x v="0"/>
    <x v="3"/>
    <n v="1"/>
    <n v="658"/>
    <n v="0"/>
    <n v="4"/>
    <n v="658"/>
  </r>
  <r>
    <s v="ORD1249"/>
    <x v="249"/>
    <x v="217"/>
    <x v="0"/>
    <x v="5"/>
    <x v="1"/>
    <x v="0"/>
    <x v="1"/>
    <n v="3"/>
    <n v="407"/>
    <n v="0"/>
    <n v="2"/>
    <n v="12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1652E0-D583-4835-AB31-23D8F4A5AE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y">
  <location ref="A3:C9" firstHeaderRow="0" firstDataRow="1" firstDataCol="1"/>
  <pivotFields count="15">
    <pivotField showAll="0"/>
    <pivotField numFmtId="165"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pivotField showAll="0"/>
    <pivotField showAll="0"/>
    <pivotField showAll="0">
      <items count="5">
        <item x="1"/>
        <item x="0"/>
        <item x="3"/>
        <item x="2"/>
        <item t="default"/>
      </items>
    </pivotField>
    <pivotField axis="axisRow" showAll="0">
      <items count="6">
        <item x="2"/>
        <item x="3"/>
        <item x="0"/>
        <item x="4"/>
        <item x="1"/>
        <item t="default"/>
      </items>
    </pivotField>
    <pivotField showAll="0"/>
    <pivotField showAll="0"/>
    <pivotField showAll="0"/>
    <pivotField showAll="0"/>
    <pivotField showAll="0"/>
    <pivotField dataField="1"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Fields count="1">
    <field x="-2"/>
  </colFields>
  <colItems count="2">
    <i>
      <x/>
    </i>
    <i i="1">
      <x v="1"/>
    </i>
  </colItems>
  <dataFields count="2">
    <dataField name="Sum of Total_Sales" fld="12" baseField="0" baseItem="0" numFmtId="1"/>
    <dataField name="Average of Total_Sales2" fld="12" subtotal="average" baseField="6"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D3FB5A-E144-4624-95B4-427BE9F9CD7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ethod">
  <location ref="A3:B8" firstHeaderRow="1" firstDataRow="1" firstDataCol="1"/>
  <pivotFields count="15">
    <pivotField showAll="0"/>
    <pivotField numFmtId="165"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pivotField showAll="0">
      <items count="3">
        <item x="0"/>
        <item x="1"/>
        <item t="default"/>
      </items>
    </pivotField>
    <pivotField showAll="0">
      <items count="43">
        <item x="15"/>
        <item x="24"/>
        <item x="33"/>
        <item x="30"/>
        <item x="29"/>
        <item x="27"/>
        <item x="12"/>
        <item x="16"/>
        <item x="4"/>
        <item x="35"/>
        <item x="39"/>
        <item x="19"/>
        <item x="11"/>
        <item x="18"/>
        <item x="21"/>
        <item x="17"/>
        <item x="1"/>
        <item x="40"/>
        <item x="32"/>
        <item x="14"/>
        <item x="34"/>
        <item x="26"/>
        <item x="20"/>
        <item x="10"/>
        <item x="9"/>
        <item x="0"/>
        <item x="37"/>
        <item x="22"/>
        <item x="6"/>
        <item x="31"/>
        <item x="36"/>
        <item x="25"/>
        <item x="3"/>
        <item x="23"/>
        <item x="8"/>
        <item x="13"/>
        <item x="28"/>
        <item x="41"/>
        <item x="5"/>
        <item x="2"/>
        <item x="38"/>
        <item x="7"/>
        <item t="default"/>
      </items>
    </pivotField>
    <pivotField showAll="0">
      <items count="5">
        <item x="1"/>
        <item x="0"/>
        <item x="3"/>
        <item x="2"/>
        <item t="default"/>
      </items>
    </pivotField>
    <pivotField showAll="0">
      <items count="6">
        <item x="2"/>
        <item x="3"/>
        <item x="0"/>
        <item x="4"/>
        <item x="1"/>
        <item t="default"/>
      </items>
    </pivotField>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5">
    <i>
      <x v="2"/>
    </i>
    <i>
      <x/>
    </i>
    <i>
      <x v="1"/>
    </i>
    <i>
      <x v="3"/>
    </i>
    <i t="grand">
      <x/>
    </i>
  </rowItems>
  <colItems count="1">
    <i/>
  </colItems>
  <dataFields count="1">
    <dataField name="Sum of Total_Sales"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789B5F-2ED2-4AE8-8FA7-FB86900C53B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A49:B59" firstHeaderRow="1" firstDataRow="1" firstDataCol="1"/>
  <pivotFields count="15">
    <pivotField showAll="0"/>
    <pivotField axis="axisRow" numFmtId="165"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pivotField showAll="0"/>
    <pivotField showAll="0"/>
    <pivotField showAll="0">
      <items count="5">
        <item x="1"/>
        <item x="0"/>
        <item x="3"/>
        <item x="2"/>
        <item t="default"/>
      </items>
    </pivotField>
    <pivotField showAll="0">
      <items count="6">
        <item x="2"/>
        <item x="3"/>
        <item x="0"/>
        <item x="4"/>
        <item x="1"/>
        <item t="default"/>
      </items>
    </pivotField>
    <pivotField showAll="0"/>
    <pivotField showAll="0"/>
    <pivotField showAll="0"/>
    <pivotField showAll="0"/>
    <pivotField showAll="0"/>
    <pivotField dataField="1" numFmtI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1"/>
  </rowFields>
  <rowItems count="10">
    <i>
      <x v="1"/>
    </i>
    <i>
      <x v="2"/>
    </i>
    <i>
      <x v="3"/>
    </i>
    <i>
      <x v="4"/>
    </i>
    <i>
      <x v="5"/>
    </i>
    <i>
      <x v="6"/>
    </i>
    <i>
      <x v="7"/>
    </i>
    <i>
      <x v="8"/>
    </i>
    <i>
      <x v="9"/>
    </i>
    <i t="grand">
      <x/>
    </i>
  </rowItems>
  <colItems count="1">
    <i/>
  </colItems>
  <dataFields count="1">
    <dataField name="Sum of Total_Sales" fld="12" baseField="0" baseItem="0" numFmtId="1"/>
  </dataFields>
  <chartFormats count="2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7"/>
          </reference>
        </references>
      </pivotArea>
    </chartFormat>
    <chartFormat chart="0" format="2">
      <pivotArea type="data" outline="0" fieldPosition="0">
        <references count="2">
          <reference field="4294967294" count="1" selected="0">
            <x v="0"/>
          </reference>
          <reference field="14" count="1" selected="0">
            <x v="6"/>
          </reference>
        </references>
      </pivotArea>
    </chartFormat>
    <chartFormat chart="0" format="3">
      <pivotArea type="data" outline="0" fieldPosition="0">
        <references count="2">
          <reference field="4294967294" count="1" selected="0">
            <x v="0"/>
          </reference>
          <reference field="14" count="1" selected="0">
            <x v="4"/>
          </reference>
        </references>
      </pivotArea>
    </chartFormat>
    <chartFormat chart="0" format="4">
      <pivotArea type="data" outline="0" fieldPosition="0">
        <references count="2">
          <reference field="4294967294" count="1" selected="0">
            <x v="0"/>
          </reference>
          <reference field="14" count="1" selected="0">
            <x v="2"/>
          </reference>
        </references>
      </pivotArea>
    </chartFormat>
    <chartFormat chart="0" format="5">
      <pivotArea type="data" outline="0" fieldPosition="0">
        <references count="2">
          <reference field="4294967294" count="1" selected="0">
            <x v="0"/>
          </reference>
          <reference field="14" count="1" selected="0">
            <x v="1"/>
          </reference>
        </references>
      </pivotArea>
    </chartFormat>
    <chartFormat chart="0" format="6">
      <pivotArea type="data" outline="0" fieldPosition="0">
        <references count="2">
          <reference field="4294967294" count="1" selected="0">
            <x v="0"/>
          </reference>
          <reference field="14" count="1" selected="0">
            <x v="3"/>
          </reference>
        </references>
      </pivotArea>
    </chartFormat>
    <chartFormat chart="0" format="7">
      <pivotArea type="data" outline="0" fieldPosition="0">
        <references count="2">
          <reference field="4294967294" count="1" selected="0">
            <x v="0"/>
          </reference>
          <reference field="14" count="1" selected="0">
            <x v="5"/>
          </reference>
        </references>
      </pivotArea>
    </chartFormat>
    <chartFormat chart="0" format="8">
      <pivotArea type="data" outline="0" fieldPosition="0">
        <references count="2">
          <reference field="4294967294" count="1" selected="0">
            <x v="0"/>
          </reference>
          <reference field="14" count="1" selected="0">
            <x v="8"/>
          </reference>
        </references>
      </pivotArea>
    </chartFormat>
    <chartFormat chart="0" format="9">
      <pivotArea type="data" outline="0" fieldPosition="0">
        <references count="2">
          <reference field="4294967294" count="1" selected="0">
            <x v="0"/>
          </reference>
          <reference field="14" count="1" selected="0">
            <x v="9"/>
          </reference>
        </references>
      </pivotArea>
    </chartFormat>
    <chartFormat chart="1" format="10" series="1">
      <pivotArea type="data" outline="0" fieldPosition="0">
        <references count="1">
          <reference field="4294967294" count="1" selected="0">
            <x v="0"/>
          </reference>
        </references>
      </pivotArea>
    </chartFormat>
    <chartFormat chart="1" format="11">
      <pivotArea type="data" outline="0" fieldPosition="0">
        <references count="2">
          <reference field="4294967294" count="1" selected="0">
            <x v="0"/>
          </reference>
          <reference field="14" count="1" selected="0">
            <x v="1"/>
          </reference>
        </references>
      </pivotArea>
    </chartFormat>
    <chartFormat chart="1" format="12">
      <pivotArea type="data" outline="0" fieldPosition="0">
        <references count="2">
          <reference field="4294967294" count="1" selected="0">
            <x v="0"/>
          </reference>
          <reference field="14" count="1" selected="0">
            <x v="2"/>
          </reference>
        </references>
      </pivotArea>
    </chartFormat>
    <chartFormat chart="1" format="13">
      <pivotArea type="data" outline="0" fieldPosition="0">
        <references count="2">
          <reference field="4294967294" count="1" selected="0">
            <x v="0"/>
          </reference>
          <reference field="14" count="1" selected="0">
            <x v="3"/>
          </reference>
        </references>
      </pivotArea>
    </chartFormat>
    <chartFormat chart="1" format="14">
      <pivotArea type="data" outline="0" fieldPosition="0">
        <references count="2">
          <reference field="4294967294" count="1" selected="0">
            <x v="0"/>
          </reference>
          <reference field="14" count="1" selected="0">
            <x v="4"/>
          </reference>
        </references>
      </pivotArea>
    </chartFormat>
    <chartFormat chart="1" format="15">
      <pivotArea type="data" outline="0" fieldPosition="0">
        <references count="2">
          <reference field="4294967294" count="1" selected="0">
            <x v="0"/>
          </reference>
          <reference field="14" count="1" selected="0">
            <x v="5"/>
          </reference>
        </references>
      </pivotArea>
    </chartFormat>
    <chartFormat chart="1" format="16">
      <pivotArea type="data" outline="0" fieldPosition="0">
        <references count="2">
          <reference field="4294967294" count="1" selected="0">
            <x v="0"/>
          </reference>
          <reference field="14" count="1" selected="0">
            <x v="6"/>
          </reference>
        </references>
      </pivotArea>
    </chartFormat>
    <chartFormat chart="1" format="17">
      <pivotArea type="data" outline="0" fieldPosition="0">
        <references count="2">
          <reference field="4294967294" count="1" selected="0">
            <x v="0"/>
          </reference>
          <reference field="14" count="1" selected="0">
            <x v="7"/>
          </reference>
        </references>
      </pivotArea>
    </chartFormat>
    <chartFormat chart="1" format="18">
      <pivotArea type="data" outline="0" fieldPosition="0">
        <references count="2">
          <reference field="4294967294" count="1" selected="0">
            <x v="0"/>
          </reference>
          <reference field="14" count="1" selected="0">
            <x v="8"/>
          </reference>
        </references>
      </pivotArea>
    </chartFormat>
    <chartFormat chart="1" format="19">
      <pivotArea type="data" outline="0" fieldPosition="0">
        <references count="2">
          <reference field="4294967294" count="1" selected="0">
            <x v="0"/>
          </reference>
          <reference field="14" count="1" selected="0">
            <x v="9"/>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4" count="1" selected="0">
            <x v="4"/>
          </reference>
        </references>
      </pivotArea>
    </chartFormat>
    <chartFormat chart="2" format="2">
      <pivotArea type="data" outline="0" fieldPosition="0">
        <references count="2">
          <reference field="4294967294" count="1" selected="0">
            <x v="0"/>
          </reference>
          <reference field="14" count="1" selected="0">
            <x v="6"/>
          </reference>
        </references>
      </pivotArea>
    </chartFormat>
    <chartFormat chart="2" format="3">
      <pivotArea type="data" outline="0" fieldPosition="0">
        <references count="2">
          <reference field="4294967294" count="1" selected="0">
            <x v="0"/>
          </reference>
          <reference field="14" count="1" selected="0">
            <x v="7"/>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4" count="1" selected="0">
            <x v="4"/>
          </reference>
        </references>
      </pivotArea>
    </chartFormat>
    <chartFormat chart="4" format="10">
      <pivotArea type="data" outline="0" fieldPosition="0">
        <references count="2">
          <reference field="4294967294" count="1" selected="0">
            <x v="0"/>
          </reference>
          <reference field="14" count="1" selected="0">
            <x v="6"/>
          </reference>
        </references>
      </pivotArea>
    </chartFormat>
    <chartFormat chart="4" format="11">
      <pivotArea type="data" outline="0" fieldPosition="0">
        <references count="2">
          <reference field="4294967294" count="1" selected="0">
            <x v="0"/>
          </reference>
          <reference field="14" count="1" selected="0">
            <x v="7"/>
          </reference>
        </references>
      </pivotArea>
    </chartFormat>
    <chartFormat chart="4" format="12">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55FFB7-80E8-4DB1-8B2A-EEE6C8FF427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A29:B34" firstHeaderRow="1" firstDataRow="1" firstDataCol="1"/>
  <pivotFields count="15">
    <pivotField showAll="0"/>
    <pivotField numFmtId="165"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items count="6">
        <item x="2"/>
        <item x="3"/>
        <item x="0"/>
        <item x="4"/>
        <item x="1"/>
        <item t="default"/>
      </items>
    </pivotField>
    <pivotField showAll="0"/>
    <pivotField showAll="0"/>
    <pivotField showAll="0"/>
    <pivotField showAll="0"/>
    <pivotField showAll="0"/>
    <pivotField dataField="1"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v="1"/>
    </i>
    <i>
      <x v="2"/>
    </i>
    <i>
      <x v="3"/>
    </i>
    <i>
      <x/>
    </i>
    <i t="grand">
      <x/>
    </i>
  </rowItems>
  <colItems count="1">
    <i/>
  </colItems>
  <dataFields count="1">
    <dataField name="Sum of Total_Sales" fld="12" baseField="0" baseItem="0" numFmtId="1"/>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3"/>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5" count="1" selected="0">
            <x v="1"/>
          </reference>
        </references>
      </pivotArea>
    </chartFormat>
    <chartFormat chart="4" format="12">
      <pivotArea type="data" outline="0" fieldPosition="0">
        <references count="2">
          <reference field="4294967294" count="1" selected="0">
            <x v="0"/>
          </reference>
          <reference field="5" count="1" selected="0">
            <x v="2"/>
          </reference>
        </references>
      </pivotArea>
    </chartFormat>
    <chartFormat chart="4" format="13">
      <pivotArea type="data" outline="0" fieldPosition="0">
        <references count="2">
          <reference field="4294967294" count="1" selected="0">
            <x v="0"/>
          </reference>
          <reference field="5" count="1" selected="0">
            <x v="3"/>
          </reference>
        </references>
      </pivotArea>
    </chartFormat>
    <chartFormat chart="4" format="14">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3A3371-6ACF-4448-9045-98FB1E7F4E1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Category">
  <location ref="A8:C14" firstHeaderRow="0" firstDataRow="1" firstDataCol="1"/>
  <pivotFields count="15">
    <pivotField showAll="0"/>
    <pivotField numFmtId="165"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pivotField showAll="0"/>
    <pivotField showAll="0"/>
    <pivotField showAll="0">
      <items count="5">
        <item x="1"/>
        <item x="0"/>
        <item x="3"/>
        <item x="2"/>
        <item t="default"/>
      </items>
    </pivotField>
    <pivotField axis="axisRow" showAll="0" sortType="descending">
      <items count="6">
        <item x="2"/>
        <item x="3"/>
        <item x="0"/>
        <item x="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3"/>
    </i>
    <i>
      <x v="1"/>
    </i>
    <i>
      <x v="4"/>
    </i>
    <i>
      <x v="2"/>
    </i>
    <i>
      <x/>
    </i>
    <i t="grand">
      <x/>
    </i>
  </rowItems>
  <colFields count="1">
    <field x="-2"/>
  </colFields>
  <colItems count="2">
    <i>
      <x/>
    </i>
    <i i="1">
      <x v="1"/>
    </i>
  </colItems>
  <dataFields count="2">
    <dataField name="Sum of Total_Sales" fld="12" baseField="0" baseItem="0" numFmtId="1"/>
    <dataField name="Average of Total_Sales" fld="12" subtotal="average" baseField="6" baseItem="3"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974304-ECB9-47F9-BAE9-BFDBA0DF86F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Gender">
  <location ref="A1:B4" firstHeaderRow="1" firstDataRow="1" firstDataCol="1"/>
  <pivotFields count="15">
    <pivotField showAll="0"/>
    <pivotField numFmtId="165"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dataField="1" showAll="0"/>
    <pivotField axis="axisRow" showAll="0">
      <items count="3">
        <item x="0"/>
        <item x="1"/>
        <item t="default"/>
      </items>
    </pivotField>
    <pivotField showAll="0"/>
    <pivotField showAll="0">
      <items count="5">
        <item x="1"/>
        <item x="0"/>
        <item x="3"/>
        <item x="2"/>
        <item t="default"/>
      </items>
    </pivotField>
    <pivotField showAll="0">
      <items count="6">
        <item x="2"/>
        <item x="3"/>
        <item x="0"/>
        <item x="4"/>
        <item x="1"/>
        <item t="default"/>
      </items>
    </pivotField>
    <pivotField showAll="0"/>
    <pivotField showAll="0"/>
    <pivotField showAll="0"/>
    <pivotField showAll="0"/>
    <pivotField showAll="0"/>
    <pivotField numFmtI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
    <i>
      <x/>
    </i>
    <i>
      <x v="1"/>
    </i>
    <i t="grand">
      <x/>
    </i>
  </rowItems>
  <colItems count="1">
    <i/>
  </colItems>
  <dataFields count="1">
    <dataField name="Count of Customer_ID" fld="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B76F91-8804-4223-A3C6-C66C1A5E6F4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Category">
  <location ref="A23:F30" firstHeaderRow="1" firstDataRow="2" firstDataCol="1"/>
  <pivotFields count="15">
    <pivotField showAll="0"/>
    <pivotField numFmtId="165"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pivotField dataField="1" showAll="0">
      <items count="3">
        <item x="0"/>
        <item x="1"/>
        <item t="default"/>
      </items>
    </pivotField>
    <pivotField showAll="0"/>
    <pivotField showAll="0">
      <items count="5">
        <item x="1"/>
        <item x="0"/>
        <item x="3"/>
        <item x="2"/>
        <item t="default"/>
      </items>
    </pivotField>
    <pivotField axis="axisRow" showAll="0">
      <items count="6">
        <item x="2"/>
        <item x="3"/>
        <item x="0"/>
        <item x="4"/>
        <item x="1"/>
        <item t="default"/>
      </items>
    </pivotField>
    <pivotField axis="axisCol" showAll="0">
      <items count="5">
        <item x="1"/>
        <item x="3"/>
        <item x="0"/>
        <item x="2"/>
        <item t="default"/>
      </items>
    </pivotField>
    <pivotField showAll="0"/>
    <pivotField showAll="0"/>
    <pivotField showAll="0"/>
    <pivotField showAll="0"/>
    <pivotField numFmtI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6">
    <i>
      <x/>
    </i>
    <i>
      <x v="1"/>
    </i>
    <i>
      <x v="2"/>
    </i>
    <i>
      <x v="3"/>
    </i>
    <i>
      <x v="4"/>
    </i>
    <i t="grand">
      <x/>
    </i>
  </rowItems>
  <colFields count="1">
    <field x="7"/>
  </colFields>
  <colItems count="5">
    <i>
      <x/>
    </i>
    <i>
      <x v="1"/>
    </i>
    <i>
      <x v="2"/>
    </i>
    <i>
      <x v="3"/>
    </i>
    <i t="grand">
      <x/>
    </i>
  </colItems>
  <dataFields count="1">
    <dataField name="Count of Gender" fld="3" subtotal="count" baseField="0" baseItem="0"/>
  </dataFields>
  <chartFormats count="8">
    <chartFormat chart="3" format="0" series="1">
      <pivotArea type="data" outline="0" fieldPosition="0">
        <references count="2">
          <reference field="4294967294" count="1" selected="0">
            <x v="0"/>
          </reference>
          <reference field="7" count="1" selected="0">
            <x v="0"/>
          </reference>
        </references>
      </pivotArea>
    </chartFormat>
    <chartFormat chart="3" format="1" series="1">
      <pivotArea type="data" outline="0" fieldPosition="0">
        <references count="2">
          <reference field="4294967294" count="1" selected="0">
            <x v="0"/>
          </reference>
          <reference field="7" count="1" selected="0">
            <x v="1"/>
          </reference>
        </references>
      </pivotArea>
    </chartFormat>
    <chartFormat chart="3" format="2" series="1">
      <pivotArea type="data" outline="0" fieldPosition="0">
        <references count="2">
          <reference field="4294967294" count="1" selected="0">
            <x v="0"/>
          </reference>
          <reference field="7" count="1" selected="0">
            <x v="2"/>
          </reference>
        </references>
      </pivotArea>
    </chartFormat>
    <chartFormat chart="3" format="3" series="1">
      <pivotArea type="data" outline="0" fieldPosition="0">
        <references count="2">
          <reference field="4294967294" count="1" selected="0">
            <x v="0"/>
          </reference>
          <reference field="7" count="1" selected="0">
            <x v="3"/>
          </reference>
        </references>
      </pivotArea>
    </chartFormat>
    <chartFormat chart="5" format="8" series="1">
      <pivotArea type="data" outline="0" fieldPosition="0">
        <references count="2">
          <reference field="4294967294" count="1" selected="0">
            <x v="0"/>
          </reference>
          <reference field="7" count="1" selected="0">
            <x v="0"/>
          </reference>
        </references>
      </pivotArea>
    </chartFormat>
    <chartFormat chart="5" format="9" series="1">
      <pivotArea type="data" outline="0" fieldPosition="0">
        <references count="2">
          <reference field="4294967294" count="1" selected="0">
            <x v="0"/>
          </reference>
          <reference field="7" count="1" selected="0">
            <x v="1"/>
          </reference>
        </references>
      </pivotArea>
    </chartFormat>
    <chartFormat chart="5" format="10" series="1">
      <pivotArea type="data" outline="0" fieldPosition="0">
        <references count="2">
          <reference field="4294967294" count="1" selected="0">
            <x v="0"/>
          </reference>
          <reference field="7" count="1" selected="0">
            <x v="2"/>
          </reference>
        </references>
      </pivotArea>
    </chartFormat>
    <chartFormat chart="5"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442866-6E07-4A49-88F5-DC214120BCB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A1:B6" firstHeaderRow="1" firstDataRow="1" firstDataCol="1"/>
  <pivotFields count="15">
    <pivotField showAll="0"/>
    <pivotField numFmtId="165"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pivotField showAll="0">
      <items count="3">
        <item x="0"/>
        <item x="1"/>
        <item t="default"/>
      </items>
    </pivotField>
    <pivotField showAll="0">
      <items count="43">
        <item x="15"/>
        <item x="24"/>
        <item x="33"/>
        <item x="30"/>
        <item x="29"/>
        <item x="27"/>
        <item x="12"/>
        <item x="16"/>
        <item x="4"/>
        <item x="35"/>
        <item x="39"/>
        <item x="19"/>
        <item x="11"/>
        <item x="18"/>
        <item x="21"/>
        <item x="17"/>
        <item x="1"/>
        <item x="40"/>
        <item x="32"/>
        <item x="14"/>
        <item x="34"/>
        <item x="26"/>
        <item x="20"/>
        <item x="10"/>
        <item x="9"/>
        <item x="0"/>
        <item x="37"/>
        <item x="22"/>
        <item x="6"/>
        <item x="31"/>
        <item x="36"/>
        <item x="25"/>
        <item x="3"/>
        <item x="23"/>
        <item x="8"/>
        <item x="13"/>
        <item x="28"/>
        <item x="41"/>
        <item x="5"/>
        <item x="2"/>
        <item x="38"/>
        <item x="7"/>
        <item t="default"/>
      </items>
    </pivotField>
    <pivotField axis="axisRow" showAll="0" sortType="ascending">
      <items count="5">
        <item x="1"/>
        <item x="0"/>
        <item x="3"/>
        <item x="2"/>
        <item t="default"/>
      </items>
      <autoSortScope>
        <pivotArea dataOnly="0" outline="0" fieldPosition="0">
          <references count="1">
            <reference field="4294967294" count="1" selected="0">
              <x v="0"/>
            </reference>
          </references>
        </pivotArea>
      </autoSortScope>
    </pivotField>
    <pivotField showAll="0">
      <items count="6">
        <item x="2"/>
        <item x="3"/>
        <item x="0"/>
        <item x="4"/>
        <item x="1"/>
        <item t="default"/>
      </items>
    </pivotField>
    <pivotField showAll="0">
      <items count="5">
        <item x="1"/>
        <item x="3"/>
        <item x="0"/>
        <item x="2"/>
        <item t="default"/>
      </items>
    </pivotField>
    <pivotField showAll="0"/>
    <pivotField showAll="0"/>
    <pivotField showAll="0"/>
    <pivotField dataField="1" showAll="0"/>
    <pivotField numFmtI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5">
    <i>
      <x v="2"/>
    </i>
    <i>
      <x/>
    </i>
    <i>
      <x v="1"/>
    </i>
    <i>
      <x v="3"/>
    </i>
    <i t="grand">
      <x/>
    </i>
  </rowItems>
  <colItems count="1">
    <i/>
  </colItems>
  <dataFields count="1">
    <dataField name="Average of Delivery_Days" fld="11" subtotal="average" baseField="5" baseItem="0" numFmtId="166"/>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04762E-BBB0-4EAA-8BC2-DF7777A8EFB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ayment Method">
  <location ref="O34:P39" firstHeaderRow="1" firstDataRow="1" firstDataCol="1"/>
  <pivotFields count="15">
    <pivotField dataField="1" showAll="0"/>
    <pivotField numFmtId="165"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pivotField showAll="0">
      <items count="3">
        <item x="0"/>
        <item x="1"/>
        <item t="default"/>
      </items>
    </pivotField>
    <pivotField showAll="0">
      <items count="43">
        <item x="15"/>
        <item x="24"/>
        <item x="33"/>
        <item x="30"/>
        <item x="29"/>
        <item x="27"/>
        <item x="12"/>
        <item x="16"/>
        <item x="4"/>
        <item x="35"/>
        <item x="39"/>
        <item x="19"/>
        <item x="11"/>
        <item x="18"/>
        <item x="21"/>
        <item x="17"/>
        <item x="1"/>
        <item x="40"/>
        <item x="32"/>
        <item x="14"/>
        <item x="34"/>
        <item x="26"/>
        <item x="20"/>
        <item x="10"/>
        <item x="9"/>
        <item x="0"/>
        <item x="37"/>
        <item x="22"/>
        <item x="6"/>
        <item x="31"/>
        <item x="36"/>
        <item x="25"/>
        <item x="3"/>
        <item x="23"/>
        <item x="8"/>
        <item x="13"/>
        <item x="28"/>
        <item x="41"/>
        <item x="5"/>
        <item x="2"/>
        <item x="38"/>
        <item x="7"/>
        <item t="default"/>
      </items>
    </pivotField>
    <pivotField showAll="0">
      <items count="5">
        <item x="1"/>
        <item x="0"/>
        <item x="3"/>
        <item x="2"/>
        <item t="default"/>
      </items>
    </pivotField>
    <pivotField showAll="0">
      <items count="6">
        <item x="2"/>
        <item x="3"/>
        <item x="0"/>
        <item x="4"/>
        <item x="1"/>
        <item t="default"/>
      </items>
    </pivotField>
    <pivotField axis="axisRow" showAll="0">
      <items count="5">
        <item x="1"/>
        <item x="3"/>
        <item x="0"/>
        <item x="2"/>
        <item t="default"/>
      </items>
    </pivotField>
    <pivotField showAll="0"/>
    <pivotField showAll="0"/>
    <pivotField showAll="0"/>
    <pivotField showAll="0"/>
    <pivotField numFmtI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5">
    <i>
      <x/>
    </i>
    <i>
      <x v="1"/>
    </i>
    <i>
      <x v="2"/>
    </i>
    <i>
      <x v="3"/>
    </i>
    <i t="grand">
      <x/>
    </i>
  </rowItems>
  <colItems count="1">
    <i/>
  </colItems>
  <dataFields count="1">
    <dataField name="Count of Order_ID" fld="0" subtotal="count" baseField="0" baseItem="0"/>
  </dataFields>
  <chartFormats count="2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2"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7" count="1" selected="0">
            <x v="0"/>
          </reference>
        </references>
      </pivotArea>
    </chartFormat>
    <chartFormat chart="4" format="8">
      <pivotArea type="data" outline="0" fieldPosition="0">
        <references count="2">
          <reference field="4294967294" count="1" selected="0">
            <x v="0"/>
          </reference>
          <reference field="7" count="1" selected="0">
            <x v="1"/>
          </reference>
        </references>
      </pivotArea>
    </chartFormat>
    <chartFormat chart="4" format="9">
      <pivotArea type="data" outline="0" fieldPosition="0">
        <references count="2">
          <reference field="4294967294" count="1" selected="0">
            <x v="0"/>
          </reference>
          <reference field="7" count="1" selected="0">
            <x v="2"/>
          </reference>
        </references>
      </pivotArea>
    </chartFormat>
    <chartFormat chart="4" format="10">
      <pivotArea type="data" outline="0" fieldPosition="0">
        <references count="2">
          <reference field="4294967294" count="1" selected="0">
            <x v="0"/>
          </reference>
          <reference field="7" count="1" selected="0">
            <x v="3"/>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7" count="1" selected="0">
            <x v="0"/>
          </reference>
        </references>
      </pivotArea>
    </chartFormat>
    <chartFormat chart="6" format="3">
      <pivotArea type="data" outline="0" fieldPosition="0">
        <references count="2">
          <reference field="4294967294" count="1" selected="0">
            <x v="0"/>
          </reference>
          <reference field="7" count="1" selected="0">
            <x v="1"/>
          </reference>
        </references>
      </pivotArea>
    </chartFormat>
    <chartFormat chart="6" format="4">
      <pivotArea type="data" outline="0" fieldPosition="0">
        <references count="2">
          <reference field="4294967294" count="1" selected="0">
            <x v="0"/>
          </reference>
          <reference field="7" count="1" selected="0">
            <x v="2"/>
          </reference>
        </references>
      </pivotArea>
    </chartFormat>
    <chartFormat chart="6" format="5">
      <pivotArea type="data" outline="0" fieldPosition="0">
        <references count="2">
          <reference field="4294967294" count="1" selected="0">
            <x v="0"/>
          </reference>
          <reference field="7" count="1" selected="0">
            <x v="3"/>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7" count="1" selected="0">
            <x v="0"/>
          </reference>
        </references>
      </pivotArea>
    </chartFormat>
    <chartFormat chart="7" format="8">
      <pivotArea type="data" outline="0" fieldPosition="0">
        <references count="2">
          <reference field="4294967294" count="1" selected="0">
            <x v="0"/>
          </reference>
          <reference field="7" count="1" selected="0">
            <x v="1"/>
          </reference>
        </references>
      </pivotArea>
    </chartFormat>
    <chartFormat chart="7" format="9">
      <pivotArea type="data" outline="0" fieldPosition="0">
        <references count="2">
          <reference field="4294967294" count="1" selected="0">
            <x v="0"/>
          </reference>
          <reference field="7" count="1" selected="0">
            <x v="2"/>
          </reference>
        </references>
      </pivotArea>
    </chartFormat>
    <chartFormat chart="7" format="10">
      <pivotArea type="data" outline="0" fieldPosition="0">
        <references count="2">
          <reference field="4294967294" count="1" selected="0">
            <x v="0"/>
          </reference>
          <reference field="7" count="1" selected="0">
            <x v="3"/>
          </reference>
        </references>
      </pivotArea>
    </chartFormat>
    <chartFormat chart="2" format="5">
      <pivotArea type="data" outline="0" fieldPosition="0">
        <references count="2">
          <reference field="4294967294" count="1" selected="0">
            <x v="0"/>
          </reference>
          <reference field="7" count="1" selected="0">
            <x v="0"/>
          </reference>
        </references>
      </pivotArea>
    </chartFormat>
    <chartFormat chart="2" format="6">
      <pivotArea type="data" outline="0" fieldPosition="0">
        <references count="2">
          <reference field="4294967294" count="1" selected="0">
            <x v="0"/>
          </reference>
          <reference field="7" count="1" selected="0">
            <x v="1"/>
          </reference>
        </references>
      </pivotArea>
    </chartFormat>
    <chartFormat chart="2" format="7">
      <pivotArea type="data" outline="0" fieldPosition="0">
        <references count="2">
          <reference field="4294967294" count="1" selected="0">
            <x v="0"/>
          </reference>
          <reference field="7" count="1" selected="0">
            <x v="2"/>
          </reference>
        </references>
      </pivotArea>
    </chartFormat>
    <chartFormat chart="2" format="8">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D29F57E-FF47-4D23-88BF-562306E6631A}" sourceName="Region">
  <pivotTables>
    <pivotTable tabId="8" name="PivotTable13"/>
    <pivotTable tabId="4" name="PivotTable1"/>
    <pivotTable tabId="5" name="PivotTable3"/>
    <pivotTable tabId="3" name="PivotTable2"/>
    <pivotTable tabId="3" name="PivotTable4"/>
    <pivotTable tabId="3" name="PivotTable5"/>
    <pivotTable tabId="6" name="PivotTable1"/>
    <pivotTable tabId="6" name="PivotTable2"/>
    <pivotTable tabId="8" name="PivotTable12"/>
  </pivotTables>
  <data>
    <tabular pivotCacheId="1460041624">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57538F5-27D0-4110-B670-41AE2AF39A21}" cache="Slicer_Region" caption="Region" rowHeight="234950"/>
</slicers>
</file>

<file path=xl/theme/theme1.xml><?xml version="1.0" encoding="utf-8"?>
<a:theme xmlns:a="http://schemas.openxmlformats.org/drawingml/2006/main" name="Office Theme 2007 - 2010">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6"/>
  <sheetViews>
    <sheetView workbookViewId="0"/>
  </sheetViews>
  <sheetFormatPr defaultRowHeight="14.4" x14ac:dyDescent="0.3"/>
  <cols>
    <col min="1" max="1" width="8.6640625" bestFit="1" customWidth="1"/>
    <col min="2" max="2" width="18.109375" bestFit="1" customWidth="1"/>
    <col min="3" max="3" width="11.88671875" bestFit="1" customWidth="1"/>
    <col min="4" max="4" width="7.109375" bestFit="1" customWidth="1"/>
    <col min="5" max="5" width="4.21875" bestFit="1" customWidth="1"/>
    <col min="6" max="6" width="6.77734375" bestFit="1" customWidth="1"/>
    <col min="7" max="7" width="16.33203125" bestFit="1" customWidth="1"/>
    <col min="8" max="8" width="16.44140625" bestFit="1" customWidth="1"/>
    <col min="9" max="9" width="8.33203125" bestFit="1" customWidth="1"/>
    <col min="10" max="10" width="9.6640625" bestFit="1" customWidth="1"/>
    <col min="11" max="11" width="10.77734375" bestFit="1" customWidth="1"/>
    <col min="12" max="12" width="12.77734375" bestFit="1" customWidth="1"/>
    <col min="13" max="13" width="10.44140625"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s="2">
        <v>45292</v>
      </c>
      <c r="C2" t="s">
        <v>263</v>
      </c>
      <c r="D2" t="s">
        <v>481</v>
      </c>
      <c r="E2">
        <v>43</v>
      </c>
      <c r="F2" t="s">
        <v>483</v>
      </c>
      <c r="G2" t="s">
        <v>487</v>
      </c>
      <c r="H2" t="s">
        <v>492</v>
      </c>
      <c r="I2">
        <v>1</v>
      </c>
      <c r="J2">
        <v>4455</v>
      </c>
      <c r="K2">
        <v>5</v>
      </c>
      <c r="L2">
        <v>5</v>
      </c>
      <c r="M2">
        <v>4232.25</v>
      </c>
    </row>
    <row r="3" spans="1:13" x14ac:dyDescent="0.3">
      <c r="A3" t="s">
        <v>14</v>
      </c>
      <c r="B3" s="2">
        <v>45293</v>
      </c>
      <c r="C3" t="s">
        <v>264</v>
      </c>
      <c r="D3" t="s">
        <v>481</v>
      </c>
      <c r="E3">
        <v>34</v>
      </c>
      <c r="F3" t="s">
        <v>484</v>
      </c>
      <c r="G3" t="s">
        <v>488</v>
      </c>
      <c r="H3" t="s">
        <v>493</v>
      </c>
      <c r="I3">
        <v>2</v>
      </c>
      <c r="J3">
        <v>4269</v>
      </c>
      <c r="K3">
        <v>15</v>
      </c>
      <c r="L3">
        <v>4</v>
      </c>
      <c r="M3">
        <v>7257.3</v>
      </c>
    </row>
    <row r="4" spans="1:13" x14ac:dyDescent="0.3">
      <c r="A4" t="s">
        <v>15</v>
      </c>
      <c r="B4" s="2">
        <v>45294</v>
      </c>
      <c r="C4" t="s">
        <v>265</v>
      </c>
      <c r="D4" t="s">
        <v>481</v>
      </c>
      <c r="E4">
        <v>57</v>
      </c>
      <c r="F4" t="s">
        <v>483</v>
      </c>
      <c r="G4" t="s">
        <v>489</v>
      </c>
      <c r="H4" t="s">
        <v>493</v>
      </c>
      <c r="I4">
        <v>3</v>
      </c>
      <c r="J4">
        <v>1092</v>
      </c>
      <c r="K4">
        <v>5</v>
      </c>
      <c r="L4">
        <v>2</v>
      </c>
      <c r="M4">
        <v>3112.2</v>
      </c>
    </row>
    <row r="5" spans="1:13" x14ac:dyDescent="0.3">
      <c r="A5" t="s">
        <v>16</v>
      </c>
      <c r="B5" s="2">
        <v>45295</v>
      </c>
      <c r="C5" t="s">
        <v>266</v>
      </c>
      <c r="D5" t="s">
        <v>481</v>
      </c>
      <c r="E5">
        <v>50</v>
      </c>
      <c r="F5" t="s">
        <v>485</v>
      </c>
      <c r="G5" t="s">
        <v>489</v>
      </c>
      <c r="H5" t="s">
        <v>492</v>
      </c>
      <c r="I5">
        <v>1</v>
      </c>
      <c r="J5">
        <v>2230</v>
      </c>
      <c r="K5">
        <v>10</v>
      </c>
      <c r="L5">
        <v>8</v>
      </c>
      <c r="M5">
        <v>2007</v>
      </c>
    </row>
    <row r="6" spans="1:13" x14ac:dyDescent="0.3">
      <c r="A6" t="s">
        <v>17</v>
      </c>
      <c r="B6" s="2">
        <v>45296</v>
      </c>
      <c r="C6" t="s">
        <v>267</v>
      </c>
      <c r="D6" t="s">
        <v>482</v>
      </c>
      <c r="E6">
        <v>26</v>
      </c>
      <c r="F6" t="s">
        <v>486</v>
      </c>
      <c r="G6" t="s">
        <v>487</v>
      </c>
      <c r="H6" t="s">
        <v>493</v>
      </c>
      <c r="I6">
        <v>2</v>
      </c>
      <c r="J6">
        <v>3360</v>
      </c>
      <c r="K6">
        <v>5</v>
      </c>
      <c r="L6">
        <v>3</v>
      </c>
      <c r="M6">
        <v>6384</v>
      </c>
    </row>
    <row r="7" spans="1:13" x14ac:dyDescent="0.3">
      <c r="A7" t="s">
        <v>18</v>
      </c>
      <c r="B7" s="2">
        <v>45297</v>
      </c>
      <c r="C7" t="s">
        <v>268</v>
      </c>
      <c r="D7" t="s">
        <v>481</v>
      </c>
      <c r="E7">
        <v>56</v>
      </c>
      <c r="F7" t="s">
        <v>483</v>
      </c>
      <c r="G7" t="s">
        <v>488</v>
      </c>
      <c r="H7" t="s">
        <v>493</v>
      </c>
      <c r="I7">
        <v>3</v>
      </c>
      <c r="J7">
        <v>2576</v>
      </c>
      <c r="K7">
        <v>10</v>
      </c>
      <c r="L7">
        <v>4</v>
      </c>
      <c r="M7">
        <v>6955.2</v>
      </c>
    </row>
    <row r="8" spans="1:13" x14ac:dyDescent="0.3">
      <c r="A8" t="s">
        <v>19</v>
      </c>
      <c r="B8" s="2">
        <v>45298</v>
      </c>
      <c r="C8" t="s">
        <v>269</v>
      </c>
      <c r="D8" t="s">
        <v>482</v>
      </c>
      <c r="E8">
        <v>46</v>
      </c>
      <c r="F8" t="s">
        <v>484</v>
      </c>
      <c r="G8" t="s">
        <v>488</v>
      </c>
      <c r="H8" t="s">
        <v>493</v>
      </c>
      <c r="I8">
        <v>1</v>
      </c>
      <c r="J8">
        <v>4875</v>
      </c>
      <c r="K8">
        <v>0</v>
      </c>
      <c r="L8">
        <v>7</v>
      </c>
      <c r="M8">
        <v>4875</v>
      </c>
    </row>
    <row r="9" spans="1:13" x14ac:dyDescent="0.3">
      <c r="A9" t="s">
        <v>20</v>
      </c>
      <c r="B9" s="2">
        <v>45299</v>
      </c>
      <c r="C9" t="s">
        <v>270</v>
      </c>
      <c r="D9" t="s">
        <v>482</v>
      </c>
      <c r="E9">
        <v>59</v>
      </c>
      <c r="F9" t="s">
        <v>485</v>
      </c>
      <c r="G9" t="s">
        <v>488</v>
      </c>
      <c r="H9" t="s">
        <v>493</v>
      </c>
      <c r="I9">
        <v>1</v>
      </c>
      <c r="J9">
        <v>2133</v>
      </c>
      <c r="K9">
        <v>0</v>
      </c>
      <c r="L9">
        <v>9</v>
      </c>
      <c r="M9">
        <v>2133</v>
      </c>
    </row>
    <row r="10" spans="1:13" x14ac:dyDescent="0.3">
      <c r="A10" t="s">
        <v>21</v>
      </c>
      <c r="B10" s="2">
        <v>45300</v>
      </c>
      <c r="C10" t="s">
        <v>271</v>
      </c>
      <c r="D10" t="s">
        <v>482</v>
      </c>
      <c r="E10">
        <v>43</v>
      </c>
      <c r="F10" t="s">
        <v>483</v>
      </c>
      <c r="G10" t="s">
        <v>490</v>
      </c>
      <c r="H10" t="s">
        <v>493</v>
      </c>
      <c r="I10">
        <v>2</v>
      </c>
      <c r="J10">
        <v>1580</v>
      </c>
      <c r="K10">
        <v>0</v>
      </c>
      <c r="L10">
        <v>2</v>
      </c>
      <c r="M10">
        <v>3160</v>
      </c>
    </row>
    <row r="11" spans="1:13" x14ac:dyDescent="0.3">
      <c r="A11" t="s">
        <v>22</v>
      </c>
      <c r="B11" s="2">
        <v>45301</v>
      </c>
      <c r="C11" t="s">
        <v>272</v>
      </c>
      <c r="D11" t="s">
        <v>482</v>
      </c>
      <c r="E11">
        <v>52</v>
      </c>
      <c r="F11" t="s">
        <v>483</v>
      </c>
      <c r="G11" t="s">
        <v>491</v>
      </c>
      <c r="H11" t="s">
        <v>494</v>
      </c>
      <c r="I11">
        <v>5</v>
      </c>
      <c r="J11">
        <v>3881</v>
      </c>
      <c r="K11">
        <v>0</v>
      </c>
      <c r="L11">
        <v>3</v>
      </c>
      <c r="M11">
        <v>19405</v>
      </c>
    </row>
    <row r="12" spans="1:13" x14ac:dyDescent="0.3">
      <c r="A12" t="s">
        <v>23</v>
      </c>
      <c r="B12" s="2">
        <v>45302</v>
      </c>
      <c r="C12" t="s">
        <v>273</v>
      </c>
      <c r="D12" t="s">
        <v>481</v>
      </c>
      <c r="E12">
        <v>42</v>
      </c>
      <c r="F12" t="s">
        <v>485</v>
      </c>
      <c r="G12" t="s">
        <v>490</v>
      </c>
      <c r="H12" t="s">
        <v>493</v>
      </c>
      <c r="I12">
        <v>1</v>
      </c>
      <c r="J12">
        <v>1490</v>
      </c>
      <c r="K12">
        <v>15</v>
      </c>
      <c r="L12">
        <v>4</v>
      </c>
      <c r="M12">
        <v>1266.5</v>
      </c>
    </row>
    <row r="13" spans="1:13" x14ac:dyDescent="0.3">
      <c r="A13" t="s">
        <v>24</v>
      </c>
      <c r="B13" s="2">
        <v>45303</v>
      </c>
      <c r="C13" t="s">
        <v>274</v>
      </c>
      <c r="D13" t="s">
        <v>482</v>
      </c>
      <c r="E13">
        <v>41</v>
      </c>
      <c r="F13" t="s">
        <v>483</v>
      </c>
      <c r="G13" t="s">
        <v>491</v>
      </c>
      <c r="H13" t="s">
        <v>494</v>
      </c>
      <c r="I13">
        <v>1</v>
      </c>
      <c r="J13">
        <v>1840</v>
      </c>
      <c r="K13">
        <v>0</v>
      </c>
      <c r="L13">
        <v>1</v>
      </c>
      <c r="M13">
        <v>1840</v>
      </c>
    </row>
    <row r="14" spans="1:13" x14ac:dyDescent="0.3">
      <c r="A14" t="s">
        <v>25</v>
      </c>
      <c r="B14" s="2">
        <v>45304</v>
      </c>
      <c r="C14" t="s">
        <v>275</v>
      </c>
      <c r="D14" t="s">
        <v>482</v>
      </c>
      <c r="E14">
        <v>30</v>
      </c>
      <c r="F14" t="s">
        <v>486</v>
      </c>
      <c r="G14" t="s">
        <v>488</v>
      </c>
      <c r="H14" t="s">
        <v>493</v>
      </c>
      <c r="I14">
        <v>3</v>
      </c>
      <c r="J14">
        <v>2882</v>
      </c>
      <c r="L14">
        <v>7</v>
      </c>
      <c r="M14">
        <v>8646</v>
      </c>
    </row>
    <row r="15" spans="1:13" x14ac:dyDescent="0.3">
      <c r="A15" t="s">
        <v>26</v>
      </c>
      <c r="B15" s="2">
        <v>45305</v>
      </c>
      <c r="C15" t="s">
        <v>276</v>
      </c>
      <c r="D15" t="s">
        <v>482</v>
      </c>
      <c r="E15">
        <v>24</v>
      </c>
      <c r="F15" t="s">
        <v>483</v>
      </c>
      <c r="G15" t="s">
        <v>488</v>
      </c>
      <c r="H15" t="s">
        <v>492</v>
      </c>
      <c r="I15">
        <v>4</v>
      </c>
      <c r="J15">
        <v>1187</v>
      </c>
      <c r="K15">
        <v>0</v>
      </c>
      <c r="L15">
        <v>2</v>
      </c>
      <c r="M15">
        <v>4748</v>
      </c>
    </row>
    <row r="16" spans="1:13" x14ac:dyDescent="0.3">
      <c r="A16" t="s">
        <v>27</v>
      </c>
      <c r="B16" s="2">
        <v>45306</v>
      </c>
      <c r="C16" t="s">
        <v>277</v>
      </c>
      <c r="D16" t="s">
        <v>481</v>
      </c>
      <c r="E16">
        <v>53</v>
      </c>
      <c r="F16" t="s">
        <v>486</v>
      </c>
      <c r="G16" t="s">
        <v>490</v>
      </c>
      <c r="H16" t="s">
        <v>495</v>
      </c>
      <c r="I16">
        <v>2</v>
      </c>
      <c r="J16">
        <v>1418</v>
      </c>
      <c r="K16">
        <v>0</v>
      </c>
      <c r="L16">
        <v>5</v>
      </c>
      <c r="M16">
        <v>2836</v>
      </c>
    </row>
    <row r="17" spans="1:13" x14ac:dyDescent="0.3">
      <c r="A17" t="s">
        <v>28</v>
      </c>
      <c r="B17" s="2">
        <v>45307</v>
      </c>
      <c r="C17" t="s">
        <v>278</v>
      </c>
      <c r="D17" t="s">
        <v>481</v>
      </c>
      <c r="E17">
        <v>37</v>
      </c>
      <c r="F17" t="s">
        <v>486</v>
      </c>
      <c r="G17" t="s">
        <v>490</v>
      </c>
      <c r="H17" t="s">
        <v>494</v>
      </c>
      <c r="I17">
        <v>2</v>
      </c>
      <c r="J17">
        <v>1555</v>
      </c>
      <c r="K17">
        <v>10</v>
      </c>
      <c r="L17">
        <v>1</v>
      </c>
      <c r="M17">
        <v>2799</v>
      </c>
    </row>
    <row r="18" spans="1:13" x14ac:dyDescent="0.3">
      <c r="A18" t="s">
        <v>29</v>
      </c>
      <c r="B18" s="2">
        <v>45308</v>
      </c>
      <c r="C18" t="s">
        <v>279</v>
      </c>
      <c r="D18" t="s">
        <v>481</v>
      </c>
      <c r="E18">
        <v>18</v>
      </c>
      <c r="F18" t="s">
        <v>485</v>
      </c>
      <c r="G18" t="s">
        <v>491</v>
      </c>
      <c r="H18" t="s">
        <v>493</v>
      </c>
      <c r="I18">
        <v>5</v>
      </c>
      <c r="J18">
        <v>4465</v>
      </c>
      <c r="K18">
        <v>10</v>
      </c>
      <c r="L18">
        <v>3</v>
      </c>
      <c r="M18">
        <v>20092.5</v>
      </c>
    </row>
    <row r="19" spans="1:13" x14ac:dyDescent="0.3">
      <c r="A19" t="s">
        <v>30</v>
      </c>
      <c r="B19" s="2">
        <v>45309</v>
      </c>
      <c r="C19" t="s">
        <v>280</v>
      </c>
      <c r="D19" t="s">
        <v>481</v>
      </c>
      <c r="E19">
        <v>25</v>
      </c>
      <c r="F19" t="s">
        <v>483</v>
      </c>
      <c r="G19" t="s">
        <v>489</v>
      </c>
      <c r="H19" t="s">
        <v>492</v>
      </c>
      <c r="I19">
        <v>5</v>
      </c>
      <c r="J19">
        <v>4816</v>
      </c>
      <c r="K19">
        <v>5</v>
      </c>
      <c r="L19">
        <v>2</v>
      </c>
      <c r="M19">
        <v>22876</v>
      </c>
    </row>
    <row r="20" spans="1:13" x14ac:dyDescent="0.3">
      <c r="A20" t="s">
        <v>31</v>
      </c>
      <c r="B20" s="2">
        <v>45310</v>
      </c>
      <c r="C20" t="s">
        <v>281</v>
      </c>
      <c r="D20" t="s">
        <v>482</v>
      </c>
      <c r="E20">
        <v>33</v>
      </c>
      <c r="F20" t="s">
        <v>485</v>
      </c>
      <c r="G20" t="s">
        <v>491</v>
      </c>
      <c r="H20" t="s">
        <v>495</v>
      </c>
      <c r="I20">
        <v>2</v>
      </c>
      <c r="J20">
        <v>4335</v>
      </c>
      <c r="K20">
        <v>5</v>
      </c>
      <c r="L20">
        <v>1</v>
      </c>
      <c r="M20">
        <v>8236.5</v>
      </c>
    </row>
    <row r="21" spans="1:13" x14ac:dyDescent="0.3">
      <c r="A21" t="s">
        <v>32</v>
      </c>
      <c r="B21" s="2">
        <v>45311</v>
      </c>
      <c r="C21" t="s">
        <v>282</v>
      </c>
      <c r="D21" t="s">
        <v>482</v>
      </c>
      <c r="E21">
        <v>31</v>
      </c>
      <c r="F21" t="s">
        <v>483</v>
      </c>
      <c r="G21" t="s">
        <v>490</v>
      </c>
      <c r="H21" t="s">
        <v>494</v>
      </c>
      <c r="I21">
        <v>5</v>
      </c>
      <c r="J21">
        <v>1760</v>
      </c>
      <c r="K21">
        <v>10</v>
      </c>
      <c r="L21">
        <v>7</v>
      </c>
      <c r="M21">
        <v>7920</v>
      </c>
    </row>
    <row r="22" spans="1:13" x14ac:dyDescent="0.3">
      <c r="A22" t="s">
        <v>33</v>
      </c>
      <c r="B22" s="2">
        <v>45312</v>
      </c>
      <c r="C22" t="s">
        <v>283</v>
      </c>
      <c r="D22" t="s">
        <v>481</v>
      </c>
      <c r="E22">
        <v>29</v>
      </c>
      <c r="F22" t="s">
        <v>483</v>
      </c>
      <c r="G22" t="s">
        <v>490</v>
      </c>
      <c r="H22" t="s">
        <v>495</v>
      </c>
      <c r="I22">
        <v>3</v>
      </c>
      <c r="J22">
        <v>1618</v>
      </c>
      <c r="K22">
        <v>0</v>
      </c>
      <c r="L22">
        <v>5</v>
      </c>
      <c r="M22">
        <v>4854</v>
      </c>
    </row>
    <row r="23" spans="1:13" x14ac:dyDescent="0.3">
      <c r="A23" t="s">
        <v>34</v>
      </c>
      <c r="B23" s="2">
        <v>45313</v>
      </c>
      <c r="C23" t="s">
        <v>284</v>
      </c>
      <c r="D23" t="s">
        <v>482</v>
      </c>
      <c r="E23">
        <v>40</v>
      </c>
      <c r="F23" t="s">
        <v>484</v>
      </c>
      <c r="G23" t="s">
        <v>487</v>
      </c>
      <c r="H23" t="s">
        <v>492</v>
      </c>
      <c r="I23">
        <v>2</v>
      </c>
      <c r="J23">
        <v>1154</v>
      </c>
      <c r="L23">
        <v>1</v>
      </c>
      <c r="M23">
        <v>2308</v>
      </c>
    </row>
    <row r="24" spans="1:13" x14ac:dyDescent="0.3">
      <c r="A24" t="s">
        <v>35</v>
      </c>
      <c r="B24" s="2">
        <v>45314</v>
      </c>
      <c r="C24" t="s">
        <v>285</v>
      </c>
      <c r="D24" t="s">
        <v>482</v>
      </c>
      <c r="E24">
        <v>32</v>
      </c>
      <c r="F24" t="s">
        <v>483</v>
      </c>
      <c r="G24" t="s">
        <v>490</v>
      </c>
      <c r="H24" t="s">
        <v>494</v>
      </c>
      <c r="I24">
        <v>5</v>
      </c>
      <c r="J24">
        <v>1183</v>
      </c>
      <c r="L24">
        <v>6</v>
      </c>
      <c r="M24">
        <v>5915</v>
      </c>
    </row>
    <row r="25" spans="1:13" x14ac:dyDescent="0.3">
      <c r="A25" t="s">
        <v>36</v>
      </c>
      <c r="B25" s="2">
        <v>45315</v>
      </c>
      <c r="C25" t="s">
        <v>286</v>
      </c>
      <c r="D25" t="s">
        <v>482</v>
      </c>
      <c r="E25">
        <v>45</v>
      </c>
      <c r="F25" t="s">
        <v>485</v>
      </c>
      <c r="G25" t="s">
        <v>487</v>
      </c>
      <c r="H25" t="s">
        <v>495</v>
      </c>
      <c r="I25">
        <v>2</v>
      </c>
      <c r="J25">
        <v>1174</v>
      </c>
      <c r="K25">
        <v>10</v>
      </c>
      <c r="L25">
        <v>5</v>
      </c>
      <c r="M25">
        <v>2113.1999999999998</v>
      </c>
    </row>
    <row r="26" spans="1:13" x14ac:dyDescent="0.3">
      <c r="A26" t="s">
        <v>37</v>
      </c>
      <c r="B26" s="2">
        <v>45316</v>
      </c>
      <c r="C26" t="s">
        <v>287</v>
      </c>
      <c r="D26" t="s">
        <v>481</v>
      </c>
      <c r="E26">
        <v>51</v>
      </c>
      <c r="F26" t="s">
        <v>486</v>
      </c>
      <c r="G26" t="s">
        <v>489</v>
      </c>
      <c r="H26" t="s">
        <v>493</v>
      </c>
      <c r="I26">
        <v>4</v>
      </c>
      <c r="J26">
        <v>4333</v>
      </c>
      <c r="K26">
        <v>0</v>
      </c>
      <c r="L26">
        <v>3</v>
      </c>
      <c r="M26">
        <v>17332</v>
      </c>
    </row>
    <row r="27" spans="1:13" x14ac:dyDescent="0.3">
      <c r="A27" t="s">
        <v>38</v>
      </c>
      <c r="B27" s="2">
        <v>45317</v>
      </c>
      <c r="C27" t="s">
        <v>288</v>
      </c>
      <c r="D27" t="s">
        <v>481</v>
      </c>
      <c r="E27">
        <v>19</v>
      </c>
      <c r="F27" t="s">
        <v>483</v>
      </c>
      <c r="G27" t="s">
        <v>491</v>
      </c>
      <c r="H27" t="s">
        <v>494</v>
      </c>
      <c r="I27">
        <v>1</v>
      </c>
      <c r="J27">
        <v>4172</v>
      </c>
      <c r="K27">
        <v>10</v>
      </c>
      <c r="L27">
        <v>7</v>
      </c>
      <c r="M27">
        <v>3754.8</v>
      </c>
    </row>
    <row r="28" spans="1:13" x14ac:dyDescent="0.3">
      <c r="A28" t="s">
        <v>39</v>
      </c>
      <c r="B28" s="2">
        <v>45318</v>
      </c>
      <c r="C28" t="s">
        <v>289</v>
      </c>
      <c r="D28" t="s">
        <v>482</v>
      </c>
      <c r="E28">
        <v>49</v>
      </c>
      <c r="F28" t="s">
        <v>484</v>
      </c>
      <c r="G28" t="s">
        <v>491</v>
      </c>
      <c r="H28" t="s">
        <v>495</v>
      </c>
      <c r="I28">
        <v>2</v>
      </c>
      <c r="J28">
        <v>1113</v>
      </c>
      <c r="K28">
        <v>0</v>
      </c>
      <c r="L28">
        <v>9</v>
      </c>
      <c r="M28">
        <v>2226</v>
      </c>
    </row>
    <row r="29" spans="1:13" x14ac:dyDescent="0.3">
      <c r="A29" t="s">
        <v>40</v>
      </c>
      <c r="B29" s="2">
        <v>45319</v>
      </c>
      <c r="C29" t="s">
        <v>290</v>
      </c>
      <c r="D29" t="s">
        <v>481</v>
      </c>
      <c r="E29">
        <v>40</v>
      </c>
      <c r="F29" t="s">
        <v>485</v>
      </c>
      <c r="G29" t="s">
        <v>487</v>
      </c>
      <c r="H29" t="s">
        <v>492</v>
      </c>
      <c r="I29">
        <v>1</v>
      </c>
      <c r="J29">
        <v>4749</v>
      </c>
      <c r="K29">
        <v>0</v>
      </c>
      <c r="L29">
        <v>9</v>
      </c>
      <c r="M29">
        <v>4749</v>
      </c>
    </row>
    <row r="30" spans="1:13" x14ac:dyDescent="0.3">
      <c r="A30" t="s">
        <v>41</v>
      </c>
      <c r="B30" s="2">
        <v>45320</v>
      </c>
      <c r="C30" t="s">
        <v>291</v>
      </c>
      <c r="D30" t="s">
        <v>481</v>
      </c>
      <c r="E30">
        <v>39</v>
      </c>
      <c r="F30" t="s">
        <v>483</v>
      </c>
      <c r="G30" t="s">
        <v>491</v>
      </c>
      <c r="H30" t="s">
        <v>492</v>
      </c>
      <c r="I30">
        <v>5</v>
      </c>
      <c r="J30">
        <v>236</v>
      </c>
      <c r="K30">
        <v>0</v>
      </c>
      <c r="L30">
        <v>9</v>
      </c>
      <c r="M30">
        <v>1180</v>
      </c>
    </row>
    <row r="31" spans="1:13" x14ac:dyDescent="0.3">
      <c r="A31" t="s">
        <v>42</v>
      </c>
      <c r="B31" s="2">
        <v>45321</v>
      </c>
      <c r="C31" t="s">
        <v>292</v>
      </c>
      <c r="D31" t="s">
        <v>481</v>
      </c>
      <c r="E31">
        <v>42</v>
      </c>
      <c r="F31" t="s">
        <v>485</v>
      </c>
      <c r="G31" t="s">
        <v>490</v>
      </c>
      <c r="H31" t="s">
        <v>494</v>
      </c>
      <c r="I31">
        <v>1</v>
      </c>
      <c r="J31">
        <v>3587</v>
      </c>
      <c r="K31">
        <v>5</v>
      </c>
      <c r="L31">
        <v>2</v>
      </c>
      <c r="M31">
        <v>3407.65</v>
      </c>
    </row>
    <row r="32" spans="1:13" x14ac:dyDescent="0.3">
      <c r="A32" t="s">
        <v>43</v>
      </c>
      <c r="B32" s="2">
        <v>45322</v>
      </c>
      <c r="C32" t="s">
        <v>293</v>
      </c>
      <c r="D32" t="s">
        <v>481</v>
      </c>
      <c r="E32">
        <v>39</v>
      </c>
      <c r="F32" t="s">
        <v>484</v>
      </c>
      <c r="G32" t="s">
        <v>488</v>
      </c>
      <c r="H32" t="s">
        <v>495</v>
      </c>
      <c r="I32">
        <v>2</v>
      </c>
      <c r="J32">
        <v>1911</v>
      </c>
      <c r="K32">
        <v>15</v>
      </c>
      <c r="L32">
        <v>3</v>
      </c>
      <c r="M32">
        <v>3248.7</v>
      </c>
    </row>
    <row r="33" spans="1:13" x14ac:dyDescent="0.3">
      <c r="A33" t="s">
        <v>44</v>
      </c>
      <c r="B33" s="2">
        <v>45323</v>
      </c>
      <c r="C33" t="s">
        <v>294</v>
      </c>
      <c r="D33" t="s">
        <v>481</v>
      </c>
      <c r="E33">
        <v>39</v>
      </c>
      <c r="F33" t="s">
        <v>484</v>
      </c>
      <c r="G33" t="s">
        <v>487</v>
      </c>
      <c r="H33" t="s">
        <v>494</v>
      </c>
      <c r="I33">
        <v>4</v>
      </c>
      <c r="J33">
        <v>3220</v>
      </c>
      <c r="K33">
        <v>10</v>
      </c>
      <c r="L33">
        <v>7</v>
      </c>
      <c r="M33">
        <v>11592</v>
      </c>
    </row>
    <row r="34" spans="1:13" x14ac:dyDescent="0.3">
      <c r="A34" t="s">
        <v>45</v>
      </c>
      <c r="B34" s="2">
        <v>45324</v>
      </c>
      <c r="C34" t="s">
        <v>295</v>
      </c>
      <c r="D34" t="s">
        <v>482</v>
      </c>
      <c r="E34">
        <v>59</v>
      </c>
      <c r="F34" t="s">
        <v>485</v>
      </c>
      <c r="G34" t="s">
        <v>491</v>
      </c>
      <c r="H34" t="s">
        <v>494</v>
      </c>
      <c r="I34">
        <v>5</v>
      </c>
      <c r="J34">
        <v>995</v>
      </c>
      <c r="K34">
        <v>10</v>
      </c>
      <c r="L34">
        <v>5</v>
      </c>
      <c r="M34">
        <v>4477.5</v>
      </c>
    </row>
    <row r="35" spans="1:13" x14ac:dyDescent="0.3">
      <c r="A35" t="s">
        <v>46</v>
      </c>
      <c r="B35" s="2">
        <v>45325</v>
      </c>
      <c r="C35" t="s">
        <v>296</v>
      </c>
      <c r="D35" t="s">
        <v>481</v>
      </c>
      <c r="E35">
        <v>23</v>
      </c>
      <c r="F35" t="s">
        <v>483</v>
      </c>
      <c r="G35" t="s">
        <v>487</v>
      </c>
      <c r="H35" t="s">
        <v>495</v>
      </c>
      <c r="I35">
        <v>2</v>
      </c>
      <c r="J35">
        <v>4236</v>
      </c>
      <c r="K35">
        <v>5</v>
      </c>
      <c r="L35">
        <v>2</v>
      </c>
      <c r="M35">
        <v>8048.4</v>
      </c>
    </row>
    <row r="36" spans="1:13" x14ac:dyDescent="0.3">
      <c r="A36" t="s">
        <v>47</v>
      </c>
      <c r="B36" s="2">
        <v>45326</v>
      </c>
      <c r="C36" t="s">
        <v>297</v>
      </c>
      <c r="D36" t="s">
        <v>482</v>
      </c>
      <c r="E36">
        <v>32</v>
      </c>
      <c r="F36" t="s">
        <v>486</v>
      </c>
      <c r="G36" t="s">
        <v>487</v>
      </c>
      <c r="H36" t="s">
        <v>495</v>
      </c>
      <c r="I36">
        <v>5</v>
      </c>
      <c r="J36">
        <v>4888</v>
      </c>
      <c r="K36">
        <v>0</v>
      </c>
      <c r="L36">
        <v>3</v>
      </c>
      <c r="M36">
        <v>24440</v>
      </c>
    </row>
    <row r="37" spans="1:13" x14ac:dyDescent="0.3">
      <c r="A37" t="s">
        <v>48</v>
      </c>
      <c r="B37" s="2">
        <v>45327</v>
      </c>
      <c r="C37" t="s">
        <v>298</v>
      </c>
      <c r="D37" t="s">
        <v>482</v>
      </c>
      <c r="E37">
        <v>54</v>
      </c>
      <c r="F37" t="s">
        <v>484</v>
      </c>
      <c r="G37" t="s">
        <v>488</v>
      </c>
      <c r="H37" t="s">
        <v>493</v>
      </c>
      <c r="I37">
        <v>3</v>
      </c>
      <c r="J37">
        <v>3311</v>
      </c>
      <c r="K37">
        <v>0</v>
      </c>
      <c r="L37">
        <v>6</v>
      </c>
      <c r="M37">
        <v>9933</v>
      </c>
    </row>
    <row r="38" spans="1:13" x14ac:dyDescent="0.3">
      <c r="A38" t="s">
        <v>49</v>
      </c>
      <c r="B38" s="2">
        <v>45328</v>
      </c>
      <c r="C38" t="s">
        <v>299</v>
      </c>
      <c r="D38" t="s">
        <v>481</v>
      </c>
      <c r="E38">
        <v>50</v>
      </c>
      <c r="F38" t="s">
        <v>483</v>
      </c>
      <c r="G38" t="s">
        <v>490</v>
      </c>
      <c r="H38" t="s">
        <v>495</v>
      </c>
      <c r="I38">
        <v>1</v>
      </c>
      <c r="J38">
        <v>1524</v>
      </c>
      <c r="L38">
        <v>7</v>
      </c>
      <c r="M38">
        <v>1524</v>
      </c>
    </row>
    <row r="39" spans="1:13" x14ac:dyDescent="0.3">
      <c r="A39" t="s">
        <v>50</v>
      </c>
      <c r="B39" s="2">
        <v>45329</v>
      </c>
      <c r="C39" t="s">
        <v>300</v>
      </c>
      <c r="D39" t="s">
        <v>482</v>
      </c>
      <c r="E39">
        <v>25</v>
      </c>
      <c r="F39" t="s">
        <v>483</v>
      </c>
      <c r="G39" t="s">
        <v>487</v>
      </c>
      <c r="H39" t="s">
        <v>492</v>
      </c>
      <c r="I39">
        <v>3</v>
      </c>
      <c r="J39">
        <v>517</v>
      </c>
      <c r="K39">
        <v>0</v>
      </c>
      <c r="L39">
        <v>9</v>
      </c>
      <c r="M39">
        <v>1551</v>
      </c>
    </row>
    <row r="40" spans="1:13" x14ac:dyDescent="0.3">
      <c r="A40" t="s">
        <v>51</v>
      </c>
      <c r="B40" s="2">
        <v>45330</v>
      </c>
      <c r="C40" t="s">
        <v>301</v>
      </c>
      <c r="D40" t="s">
        <v>482</v>
      </c>
      <c r="E40">
        <v>22</v>
      </c>
      <c r="F40" t="s">
        <v>486</v>
      </c>
      <c r="G40" t="s">
        <v>491</v>
      </c>
      <c r="H40" t="s">
        <v>494</v>
      </c>
      <c r="I40">
        <v>2</v>
      </c>
      <c r="J40">
        <v>2596</v>
      </c>
      <c r="K40">
        <v>15</v>
      </c>
      <c r="L40">
        <v>1</v>
      </c>
      <c r="M40">
        <v>4413.2</v>
      </c>
    </row>
    <row r="41" spans="1:13" x14ac:dyDescent="0.3">
      <c r="A41" t="s">
        <v>52</v>
      </c>
      <c r="B41" s="2">
        <v>45331</v>
      </c>
      <c r="C41" t="s">
        <v>302</v>
      </c>
      <c r="D41" t="s">
        <v>482</v>
      </c>
      <c r="E41">
        <v>56</v>
      </c>
      <c r="F41" t="s">
        <v>484</v>
      </c>
      <c r="G41" t="s">
        <v>489</v>
      </c>
      <c r="H41" t="s">
        <v>494</v>
      </c>
      <c r="I41">
        <v>4</v>
      </c>
      <c r="J41">
        <v>2362</v>
      </c>
      <c r="K41">
        <v>5</v>
      </c>
      <c r="L41">
        <v>7</v>
      </c>
      <c r="M41">
        <v>8975.6</v>
      </c>
    </row>
    <row r="42" spans="1:13" x14ac:dyDescent="0.3">
      <c r="A42" t="s">
        <v>53</v>
      </c>
      <c r="B42" s="2">
        <v>45332</v>
      </c>
      <c r="C42" t="s">
        <v>303</v>
      </c>
      <c r="D42" t="s">
        <v>481</v>
      </c>
      <c r="E42">
        <v>21</v>
      </c>
      <c r="F42" t="s">
        <v>484</v>
      </c>
      <c r="G42" t="s">
        <v>487</v>
      </c>
      <c r="H42" t="s">
        <v>492</v>
      </c>
      <c r="I42">
        <v>5</v>
      </c>
      <c r="J42">
        <v>2945</v>
      </c>
      <c r="K42">
        <v>5</v>
      </c>
      <c r="L42">
        <v>8</v>
      </c>
      <c r="M42">
        <v>13988.75</v>
      </c>
    </row>
    <row r="43" spans="1:13" x14ac:dyDescent="0.3">
      <c r="A43" t="s">
        <v>54</v>
      </c>
      <c r="B43" s="2">
        <v>45333</v>
      </c>
      <c r="C43" t="s">
        <v>304</v>
      </c>
      <c r="D43" t="s">
        <v>481</v>
      </c>
      <c r="E43">
        <v>23</v>
      </c>
      <c r="F43" t="s">
        <v>483</v>
      </c>
      <c r="G43" t="s">
        <v>487</v>
      </c>
      <c r="H43" t="s">
        <v>495</v>
      </c>
      <c r="I43">
        <v>1</v>
      </c>
      <c r="J43">
        <v>1791</v>
      </c>
      <c r="K43">
        <v>10</v>
      </c>
      <c r="L43">
        <v>3</v>
      </c>
      <c r="M43">
        <v>1611.9</v>
      </c>
    </row>
    <row r="44" spans="1:13" x14ac:dyDescent="0.3">
      <c r="A44" t="s">
        <v>55</v>
      </c>
      <c r="B44" s="2">
        <v>45334</v>
      </c>
      <c r="C44" t="s">
        <v>305</v>
      </c>
      <c r="D44" t="s">
        <v>482</v>
      </c>
      <c r="E44">
        <v>49</v>
      </c>
      <c r="F44" t="s">
        <v>483</v>
      </c>
      <c r="G44" t="s">
        <v>488</v>
      </c>
      <c r="H44" t="s">
        <v>492</v>
      </c>
      <c r="I44">
        <v>5</v>
      </c>
      <c r="J44">
        <v>3311</v>
      </c>
      <c r="K44">
        <v>5</v>
      </c>
      <c r="L44">
        <v>4</v>
      </c>
      <c r="M44">
        <v>15727.25</v>
      </c>
    </row>
    <row r="45" spans="1:13" x14ac:dyDescent="0.3">
      <c r="A45" t="s">
        <v>56</v>
      </c>
      <c r="B45" s="2">
        <v>45335</v>
      </c>
      <c r="C45" t="s">
        <v>306</v>
      </c>
      <c r="D45" t="s">
        <v>481</v>
      </c>
      <c r="E45">
        <v>47</v>
      </c>
      <c r="F45" t="s">
        <v>486</v>
      </c>
      <c r="G45" t="s">
        <v>490</v>
      </c>
      <c r="H45" t="s">
        <v>492</v>
      </c>
      <c r="I45">
        <v>2</v>
      </c>
      <c r="J45">
        <v>4130</v>
      </c>
      <c r="K45">
        <v>15</v>
      </c>
      <c r="L45">
        <v>6</v>
      </c>
      <c r="M45">
        <v>7021</v>
      </c>
    </row>
    <row r="46" spans="1:13" x14ac:dyDescent="0.3">
      <c r="A46" t="s">
        <v>57</v>
      </c>
      <c r="B46" s="2">
        <v>45336</v>
      </c>
      <c r="C46" t="s">
        <v>307</v>
      </c>
      <c r="D46" t="s">
        <v>481</v>
      </c>
      <c r="E46">
        <v>52</v>
      </c>
      <c r="F46" t="s">
        <v>486</v>
      </c>
      <c r="G46" t="s">
        <v>489</v>
      </c>
      <c r="H46" t="s">
        <v>493</v>
      </c>
      <c r="I46">
        <v>5</v>
      </c>
      <c r="J46">
        <v>2196</v>
      </c>
      <c r="L46">
        <v>7</v>
      </c>
      <c r="M46">
        <v>10980</v>
      </c>
    </row>
    <row r="47" spans="1:13" x14ac:dyDescent="0.3">
      <c r="A47" t="s">
        <v>58</v>
      </c>
      <c r="B47" s="2">
        <v>45337</v>
      </c>
      <c r="C47" t="s">
        <v>308</v>
      </c>
      <c r="D47" t="s">
        <v>481</v>
      </c>
      <c r="E47">
        <v>57</v>
      </c>
      <c r="F47" t="s">
        <v>484</v>
      </c>
      <c r="G47" t="s">
        <v>491</v>
      </c>
      <c r="H47" t="s">
        <v>492</v>
      </c>
      <c r="I47">
        <v>1</v>
      </c>
      <c r="J47">
        <v>1512</v>
      </c>
      <c r="K47">
        <v>5</v>
      </c>
      <c r="L47">
        <v>4</v>
      </c>
      <c r="M47">
        <v>1436.4</v>
      </c>
    </row>
    <row r="48" spans="1:13" x14ac:dyDescent="0.3">
      <c r="A48" t="s">
        <v>59</v>
      </c>
      <c r="B48" s="2">
        <v>45338</v>
      </c>
      <c r="C48" t="s">
        <v>309</v>
      </c>
      <c r="D48" t="s">
        <v>481</v>
      </c>
      <c r="E48">
        <v>33</v>
      </c>
      <c r="F48" t="s">
        <v>485</v>
      </c>
      <c r="G48" t="s">
        <v>489</v>
      </c>
      <c r="H48" t="s">
        <v>494</v>
      </c>
      <c r="I48">
        <v>2</v>
      </c>
      <c r="J48">
        <v>1485</v>
      </c>
      <c r="K48">
        <v>0</v>
      </c>
      <c r="L48">
        <v>8</v>
      </c>
      <c r="M48">
        <v>2970</v>
      </c>
    </row>
    <row r="49" spans="1:13" x14ac:dyDescent="0.3">
      <c r="A49" t="s">
        <v>60</v>
      </c>
      <c r="B49" s="2">
        <v>45339</v>
      </c>
      <c r="C49" t="s">
        <v>310</v>
      </c>
      <c r="D49" t="s">
        <v>482</v>
      </c>
      <c r="E49">
        <v>30</v>
      </c>
      <c r="F49" t="s">
        <v>484</v>
      </c>
      <c r="G49" t="s">
        <v>491</v>
      </c>
      <c r="H49" t="s">
        <v>492</v>
      </c>
      <c r="I49">
        <v>5</v>
      </c>
      <c r="J49">
        <v>4511</v>
      </c>
      <c r="K49">
        <v>5</v>
      </c>
      <c r="L49">
        <v>5</v>
      </c>
      <c r="M49">
        <v>21427.25</v>
      </c>
    </row>
    <row r="50" spans="1:13" x14ac:dyDescent="0.3">
      <c r="A50" t="s">
        <v>61</v>
      </c>
      <c r="B50" s="2">
        <v>45340</v>
      </c>
      <c r="C50" t="s">
        <v>311</v>
      </c>
      <c r="D50" t="s">
        <v>482</v>
      </c>
      <c r="E50">
        <v>59</v>
      </c>
      <c r="F50" t="s">
        <v>483</v>
      </c>
      <c r="G50" t="s">
        <v>490</v>
      </c>
      <c r="H50" t="s">
        <v>494</v>
      </c>
      <c r="I50">
        <v>4</v>
      </c>
      <c r="J50">
        <v>2583</v>
      </c>
      <c r="L50">
        <v>1</v>
      </c>
      <c r="M50">
        <v>10332</v>
      </c>
    </row>
    <row r="51" spans="1:13" x14ac:dyDescent="0.3">
      <c r="A51" t="s">
        <v>62</v>
      </c>
      <c r="B51" s="2">
        <v>45341</v>
      </c>
      <c r="C51" t="s">
        <v>312</v>
      </c>
      <c r="D51" t="s">
        <v>481</v>
      </c>
      <c r="E51">
        <v>47</v>
      </c>
      <c r="F51" t="s">
        <v>484</v>
      </c>
      <c r="G51" t="s">
        <v>491</v>
      </c>
      <c r="H51" t="s">
        <v>494</v>
      </c>
      <c r="I51">
        <v>2</v>
      </c>
      <c r="J51">
        <v>3439</v>
      </c>
      <c r="K51">
        <v>0</v>
      </c>
      <c r="L51">
        <v>4</v>
      </c>
      <c r="M51">
        <v>6878</v>
      </c>
    </row>
    <row r="52" spans="1:13" x14ac:dyDescent="0.3">
      <c r="A52" t="s">
        <v>63</v>
      </c>
      <c r="B52" s="2">
        <v>45342</v>
      </c>
      <c r="C52" t="s">
        <v>313</v>
      </c>
      <c r="D52" t="s">
        <v>481</v>
      </c>
      <c r="E52">
        <v>36</v>
      </c>
      <c r="F52" t="s">
        <v>485</v>
      </c>
      <c r="G52" t="s">
        <v>488</v>
      </c>
      <c r="H52" t="s">
        <v>494</v>
      </c>
      <c r="I52">
        <v>2</v>
      </c>
      <c r="J52">
        <v>2339</v>
      </c>
      <c r="K52">
        <v>10</v>
      </c>
      <c r="L52">
        <v>3</v>
      </c>
      <c r="M52">
        <v>4210.2</v>
      </c>
    </row>
    <row r="53" spans="1:13" x14ac:dyDescent="0.3">
      <c r="A53" t="s">
        <v>64</v>
      </c>
      <c r="B53" s="2">
        <v>45343</v>
      </c>
      <c r="C53" t="s">
        <v>314</v>
      </c>
      <c r="D53" t="s">
        <v>482</v>
      </c>
      <c r="E53">
        <v>34</v>
      </c>
      <c r="F53" t="s">
        <v>486</v>
      </c>
      <c r="G53" t="s">
        <v>488</v>
      </c>
      <c r="H53" t="s">
        <v>495</v>
      </c>
      <c r="I53">
        <v>4</v>
      </c>
      <c r="J53">
        <v>1904</v>
      </c>
      <c r="K53">
        <v>10</v>
      </c>
      <c r="L53">
        <v>9</v>
      </c>
      <c r="M53">
        <v>6854.4000000000005</v>
      </c>
    </row>
    <row r="54" spans="1:13" x14ac:dyDescent="0.3">
      <c r="A54" t="s">
        <v>65</v>
      </c>
      <c r="B54" s="2">
        <v>45344</v>
      </c>
      <c r="C54" t="s">
        <v>315</v>
      </c>
      <c r="D54" t="s">
        <v>482</v>
      </c>
      <c r="E54">
        <v>36</v>
      </c>
      <c r="F54" t="s">
        <v>485</v>
      </c>
      <c r="G54" t="s">
        <v>488</v>
      </c>
      <c r="H54" t="s">
        <v>493</v>
      </c>
      <c r="I54">
        <v>3</v>
      </c>
      <c r="J54">
        <v>562</v>
      </c>
      <c r="K54">
        <v>10</v>
      </c>
      <c r="L54">
        <v>8</v>
      </c>
      <c r="M54">
        <v>1517.4</v>
      </c>
    </row>
    <row r="55" spans="1:13" x14ac:dyDescent="0.3">
      <c r="A55" t="s">
        <v>66</v>
      </c>
      <c r="B55" s="2">
        <v>45345</v>
      </c>
      <c r="C55" t="s">
        <v>282</v>
      </c>
      <c r="D55" t="s">
        <v>481</v>
      </c>
      <c r="E55">
        <v>45</v>
      </c>
      <c r="F55" t="s">
        <v>485</v>
      </c>
      <c r="G55" t="s">
        <v>488</v>
      </c>
      <c r="H55" t="s">
        <v>494</v>
      </c>
      <c r="I55">
        <v>1</v>
      </c>
      <c r="J55">
        <v>2804</v>
      </c>
      <c r="K55">
        <v>0</v>
      </c>
      <c r="L55">
        <v>1</v>
      </c>
      <c r="M55">
        <v>2804</v>
      </c>
    </row>
    <row r="56" spans="1:13" x14ac:dyDescent="0.3">
      <c r="A56" t="s">
        <v>67</v>
      </c>
      <c r="B56" s="2">
        <v>45346</v>
      </c>
      <c r="C56" t="s">
        <v>316</v>
      </c>
      <c r="D56" t="s">
        <v>482</v>
      </c>
      <c r="E56">
        <v>43</v>
      </c>
      <c r="F56" t="s">
        <v>485</v>
      </c>
      <c r="G56" t="s">
        <v>489</v>
      </c>
      <c r="H56" t="s">
        <v>494</v>
      </c>
      <c r="I56">
        <v>3</v>
      </c>
      <c r="J56">
        <v>1916</v>
      </c>
      <c r="K56">
        <v>10</v>
      </c>
      <c r="L56">
        <v>6</v>
      </c>
      <c r="M56">
        <v>5173.2</v>
      </c>
    </row>
    <row r="57" spans="1:13" x14ac:dyDescent="0.3">
      <c r="A57" t="s">
        <v>68</v>
      </c>
      <c r="B57" s="2">
        <v>45347</v>
      </c>
      <c r="C57" t="s">
        <v>317</v>
      </c>
      <c r="D57" t="s">
        <v>481</v>
      </c>
      <c r="E57">
        <v>54</v>
      </c>
      <c r="F57" t="s">
        <v>486</v>
      </c>
      <c r="G57" t="s">
        <v>490</v>
      </c>
      <c r="H57" t="s">
        <v>495</v>
      </c>
      <c r="I57">
        <v>5</v>
      </c>
      <c r="J57">
        <v>4651</v>
      </c>
      <c r="L57">
        <v>9</v>
      </c>
      <c r="M57">
        <v>23255</v>
      </c>
    </row>
    <row r="58" spans="1:13" x14ac:dyDescent="0.3">
      <c r="A58" t="s">
        <v>69</v>
      </c>
      <c r="B58" s="2">
        <v>45348</v>
      </c>
      <c r="C58" t="s">
        <v>318</v>
      </c>
      <c r="D58" t="s">
        <v>481</v>
      </c>
      <c r="E58">
        <v>43</v>
      </c>
      <c r="F58" t="s">
        <v>485</v>
      </c>
      <c r="G58" t="s">
        <v>491</v>
      </c>
      <c r="H58" t="s">
        <v>494</v>
      </c>
      <c r="I58">
        <v>4</v>
      </c>
      <c r="J58">
        <v>4486</v>
      </c>
      <c r="K58">
        <v>0</v>
      </c>
      <c r="L58">
        <v>7</v>
      </c>
      <c r="M58">
        <v>17944</v>
      </c>
    </row>
    <row r="59" spans="1:13" x14ac:dyDescent="0.3">
      <c r="A59" t="s">
        <v>70</v>
      </c>
      <c r="B59" s="2">
        <v>45349</v>
      </c>
      <c r="C59" t="s">
        <v>270</v>
      </c>
      <c r="D59" t="s">
        <v>482</v>
      </c>
      <c r="E59">
        <v>40</v>
      </c>
      <c r="F59" t="s">
        <v>485</v>
      </c>
      <c r="G59" t="s">
        <v>491</v>
      </c>
      <c r="H59" t="s">
        <v>492</v>
      </c>
      <c r="I59">
        <v>3</v>
      </c>
      <c r="J59">
        <v>3938</v>
      </c>
      <c r="K59">
        <v>0</v>
      </c>
      <c r="L59">
        <v>4</v>
      </c>
      <c r="M59">
        <v>11814</v>
      </c>
    </row>
    <row r="60" spans="1:13" x14ac:dyDescent="0.3">
      <c r="A60" t="s">
        <v>71</v>
      </c>
      <c r="B60" s="2">
        <v>45350</v>
      </c>
      <c r="C60" t="s">
        <v>319</v>
      </c>
      <c r="D60" t="s">
        <v>482</v>
      </c>
      <c r="E60">
        <v>26</v>
      </c>
      <c r="F60" t="s">
        <v>485</v>
      </c>
      <c r="G60" t="s">
        <v>488</v>
      </c>
      <c r="H60" t="s">
        <v>492</v>
      </c>
      <c r="I60">
        <v>2</v>
      </c>
      <c r="J60">
        <v>2669</v>
      </c>
      <c r="L60">
        <v>1</v>
      </c>
      <c r="M60">
        <v>5338</v>
      </c>
    </row>
    <row r="61" spans="1:13" x14ac:dyDescent="0.3">
      <c r="A61" t="s">
        <v>72</v>
      </c>
      <c r="B61" s="2">
        <v>45351</v>
      </c>
      <c r="C61" t="s">
        <v>320</v>
      </c>
      <c r="D61" t="s">
        <v>481</v>
      </c>
      <c r="E61">
        <v>29</v>
      </c>
      <c r="F61" t="s">
        <v>483</v>
      </c>
      <c r="G61" t="s">
        <v>488</v>
      </c>
      <c r="H61" t="s">
        <v>493</v>
      </c>
      <c r="I61">
        <v>5</v>
      </c>
      <c r="J61">
        <v>4995</v>
      </c>
      <c r="K61">
        <v>0</v>
      </c>
      <c r="L61">
        <v>2</v>
      </c>
      <c r="M61">
        <v>24975</v>
      </c>
    </row>
    <row r="62" spans="1:13" x14ac:dyDescent="0.3">
      <c r="A62" t="s">
        <v>73</v>
      </c>
      <c r="B62" s="2">
        <v>45352</v>
      </c>
      <c r="C62" t="s">
        <v>321</v>
      </c>
      <c r="D62" t="s">
        <v>481</v>
      </c>
      <c r="E62">
        <v>18</v>
      </c>
      <c r="F62" t="s">
        <v>485</v>
      </c>
      <c r="G62" t="s">
        <v>487</v>
      </c>
      <c r="H62" t="s">
        <v>494</v>
      </c>
      <c r="I62">
        <v>5</v>
      </c>
      <c r="J62">
        <v>756</v>
      </c>
      <c r="K62">
        <v>15</v>
      </c>
      <c r="L62">
        <v>5</v>
      </c>
      <c r="M62">
        <v>3213</v>
      </c>
    </row>
    <row r="63" spans="1:13" x14ac:dyDescent="0.3">
      <c r="A63" t="s">
        <v>74</v>
      </c>
      <c r="B63" s="2">
        <v>45353</v>
      </c>
      <c r="C63" t="s">
        <v>322</v>
      </c>
      <c r="D63" t="s">
        <v>482</v>
      </c>
      <c r="E63">
        <v>18</v>
      </c>
      <c r="F63" t="s">
        <v>486</v>
      </c>
      <c r="G63" t="s">
        <v>490</v>
      </c>
      <c r="H63" t="s">
        <v>495</v>
      </c>
      <c r="I63">
        <v>3</v>
      </c>
      <c r="J63">
        <v>1025</v>
      </c>
      <c r="K63">
        <v>5</v>
      </c>
      <c r="L63">
        <v>5</v>
      </c>
      <c r="M63">
        <v>2921.25</v>
      </c>
    </row>
    <row r="64" spans="1:13" x14ac:dyDescent="0.3">
      <c r="A64" t="s">
        <v>75</v>
      </c>
      <c r="B64" s="2">
        <v>45354</v>
      </c>
      <c r="C64" t="s">
        <v>323</v>
      </c>
      <c r="D64" t="s">
        <v>481</v>
      </c>
      <c r="E64">
        <v>51</v>
      </c>
      <c r="F64" t="s">
        <v>485</v>
      </c>
      <c r="G64" t="s">
        <v>489</v>
      </c>
      <c r="H64" t="s">
        <v>492</v>
      </c>
      <c r="I64">
        <v>3</v>
      </c>
      <c r="J64">
        <v>3008</v>
      </c>
      <c r="K64">
        <v>0</v>
      </c>
      <c r="L64">
        <v>8</v>
      </c>
      <c r="M64">
        <v>9024</v>
      </c>
    </row>
    <row r="65" spans="1:13" x14ac:dyDescent="0.3">
      <c r="A65" t="s">
        <v>76</v>
      </c>
      <c r="B65" s="2">
        <v>45355</v>
      </c>
      <c r="C65" t="s">
        <v>324</v>
      </c>
      <c r="D65" t="s">
        <v>482</v>
      </c>
      <c r="E65">
        <v>49</v>
      </c>
      <c r="F65" t="s">
        <v>485</v>
      </c>
      <c r="G65" t="s">
        <v>491</v>
      </c>
      <c r="H65" t="s">
        <v>495</v>
      </c>
      <c r="I65">
        <v>4</v>
      </c>
      <c r="J65">
        <v>4721</v>
      </c>
      <c r="K65">
        <v>15</v>
      </c>
      <c r="L65">
        <v>6</v>
      </c>
      <c r="M65">
        <v>16051.4</v>
      </c>
    </row>
    <row r="66" spans="1:13" x14ac:dyDescent="0.3">
      <c r="A66" t="s">
        <v>77</v>
      </c>
      <c r="B66" s="2">
        <v>45356</v>
      </c>
      <c r="C66" t="s">
        <v>325</v>
      </c>
      <c r="D66" t="s">
        <v>481</v>
      </c>
      <c r="E66">
        <v>42</v>
      </c>
      <c r="F66" t="s">
        <v>486</v>
      </c>
      <c r="G66" t="s">
        <v>487</v>
      </c>
      <c r="H66" t="s">
        <v>495</v>
      </c>
      <c r="I66">
        <v>1</v>
      </c>
      <c r="J66">
        <v>2919</v>
      </c>
      <c r="K66">
        <v>5</v>
      </c>
      <c r="L66">
        <v>8</v>
      </c>
      <c r="M66">
        <v>2773.05</v>
      </c>
    </row>
    <row r="67" spans="1:13" x14ac:dyDescent="0.3">
      <c r="A67" t="s">
        <v>78</v>
      </c>
      <c r="B67" s="2">
        <v>45357</v>
      </c>
      <c r="C67" t="s">
        <v>326</v>
      </c>
      <c r="D67" t="s">
        <v>482</v>
      </c>
      <c r="E67">
        <v>57</v>
      </c>
      <c r="F67" t="s">
        <v>485</v>
      </c>
      <c r="G67" t="s">
        <v>487</v>
      </c>
      <c r="H67" t="s">
        <v>492</v>
      </c>
      <c r="I67">
        <v>3</v>
      </c>
      <c r="J67">
        <v>3708</v>
      </c>
      <c r="K67">
        <v>5</v>
      </c>
      <c r="L67">
        <v>2</v>
      </c>
      <c r="M67">
        <v>10567.8</v>
      </c>
    </row>
    <row r="68" spans="1:13" x14ac:dyDescent="0.3">
      <c r="A68" t="s">
        <v>79</v>
      </c>
      <c r="B68" s="2">
        <v>45358</v>
      </c>
      <c r="C68" t="s">
        <v>327</v>
      </c>
      <c r="D68" t="s">
        <v>482</v>
      </c>
      <c r="E68">
        <v>18</v>
      </c>
      <c r="F68" t="s">
        <v>486</v>
      </c>
      <c r="G68" t="s">
        <v>491</v>
      </c>
      <c r="H68" t="s">
        <v>495</v>
      </c>
      <c r="I68">
        <v>3</v>
      </c>
      <c r="J68">
        <v>3941</v>
      </c>
      <c r="K68">
        <v>0</v>
      </c>
      <c r="L68">
        <v>3</v>
      </c>
      <c r="M68">
        <v>11823</v>
      </c>
    </row>
    <row r="69" spans="1:13" x14ac:dyDescent="0.3">
      <c r="A69" t="s">
        <v>80</v>
      </c>
      <c r="B69" s="2">
        <v>45359</v>
      </c>
      <c r="C69" t="s">
        <v>328</v>
      </c>
      <c r="D69" t="s">
        <v>482</v>
      </c>
      <c r="E69">
        <v>33</v>
      </c>
      <c r="F69" t="s">
        <v>485</v>
      </c>
      <c r="G69" t="s">
        <v>489</v>
      </c>
      <c r="H69" t="s">
        <v>492</v>
      </c>
      <c r="I69">
        <v>2</v>
      </c>
      <c r="J69">
        <v>1774</v>
      </c>
      <c r="K69">
        <v>5</v>
      </c>
      <c r="L69">
        <v>6</v>
      </c>
      <c r="M69">
        <v>3370.6</v>
      </c>
    </row>
    <row r="70" spans="1:13" x14ac:dyDescent="0.3">
      <c r="A70" t="s">
        <v>81</v>
      </c>
      <c r="B70" s="2">
        <v>45360</v>
      </c>
      <c r="C70" t="s">
        <v>329</v>
      </c>
      <c r="D70" t="s">
        <v>481</v>
      </c>
      <c r="E70">
        <v>56</v>
      </c>
      <c r="F70" t="s">
        <v>486</v>
      </c>
      <c r="G70" t="s">
        <v>487</v>
      </c>
      <c r="H70" t="s">
        <v>495</v>
      </c>
      <c r="I70">
        <v>5</v>
      </c>
      <c r="J70">
        <v>4198</v>
      </c>
      <c r="K70">
        <v>0</v>
      </c>
      <c r="L70">
        <v>3</v>
      </c>
      <c r="M70">
        <v>20990</v>
      </c>
    </row>
    <row r="71" spans="1:13" x14ac:dyDescent="0.3">
      <c r="A71" t="s">
        <v>82</v>
      </c>
      <c r="B71" s="2">
        <v>45361</v>
      </c>
      <c r="C71" t="s">
        <v>330</v>
      </c>
      <c r="D71" t="s">
        <v>481</v>
      </c>
      <c r="E71">
        <v>22</v>
      </c>
      <c r="F71" t="s">
        <v>485</v>
      </c>
      <c r="G71" t="s">
        <v>487</v>
      </c>
      <c r="H71" t="s">
        <v>492</v>
      </c>
      <c r="I71">
        <v>1</v>
      </c>
      <c r="J71">
        <v>2329</v>
      </c>
      <c r="K71">
        <v>0</v>
      </c>
      <c r="L71">
        <v>6</v>
      </c>
      <c r="M71">
        <v>2329</v>
      </c>
    </row>
    <row r="72" spans="1:13" x14ac:dyDescent="0.3">
      <c r="A72" t="s">
        <v>83</v>
      </c>
      <c r="B72" s="2">
        <v>45362</v>
      </c>
      <c r="C72" t="s">
        <v>331</v>
      </c>
      <c r="D72" t="s">
        <v>482</v>
      </c>
      <c r="E72">
        <v>39</v>
      </c>
      <c r="F72" t="s">
        <v>485</v>
      </c>
      <c r="G72" t="s">
        <v>490</v>
      </c>
      <c r="H72" t="s">
        <v>494</v>
      </c>
      <c r="I72">
        <v>2</v>
      </c>
      <c r="J72">
        <v>2603</v>
      </c>
      <c r="L72">
        <v>6</v>
      </c>
      <c r="M72">
        <v>5206</v>
      </c>
    </row>
    <row r="73" spans="1:13" x14ac:dyDescent="0.3">
      <c r="A73" t="s">
        <v>84</v>
      </c>
      <c r="B73" s="2">
        <v>45363</v>
      </c>
      <c r="C73" t="s">
        <v>332</v>
      </c>
      <c r="D73" t="s">
        <v>481</v>
      </c>
      <c r="E73">
        <v>46</v>
      </c>
      <c r="F73" t="s">
        <v>483</v>
      </c>
      <c r="G73" t="s">
        <v>489</v>
      </c>
      <c r="H73" t="s">
        <v>493</v>
      </c>
      <c r="I73">
        <v>4</v>
      </c>
      <c r="J73">
        <v>3529</v>
      </c>
      <c r="K73">
        <v>0</v>
      </c>
      <c r="L73">
        <v>2</v>
      </c>
      <c r="M73">
        <v>14116</v>
      </c>
    </row>
    <row r="74" spans="1:13" x14ac:dyDescent="0.3">
      <c r="A74" t="s">
        <v>85</v>
      </c>
      <c r="B74" s="2">
        <v>45364</v>
      </c>
      <c r="C74" t="s">
        <v>333</v>
      </c>
      <c r="D74" t="s">
        <v>482</v>
      </c>
      <c r="E74">
        <v>20</v>
      </c>
      <c r="F74" t="s">
        <v>483</v>
      </c>
      <c r="G74" t="s">
        <v>487</v>
      </c>
      <c r="H74" t="s">
        <v>492</v>
      </c>
      <c r="I74">
        <v>4</v>
      </c>
      <c r="J74">
        <v>788</v>
      </c>
      <c r="K74">
        <v>10</v>
      </c>
      <c r="L74">
        <v>7</v>
      </c>
      <c r="M74">
        <v>2836.8</v>
      </c>
    </row>
    <row r="75" spans="1:13" x14ac:dyDescent="0.3">
      <c r="A75" t="s">
        <v>86</v>
      </c>
      <c r="B75" s="2">
        <v>45365</v>
      </c>
      <c r="C75" t="s">
        <v>334</v>
      </c>
      <c r="D75" t="s">
        <v>482</v>
      </c>
      <c r="E75">
        <v>29</v>
      </c>
      <c r="F75" t="s">
        <v>485</v>
      </c>
      <c r="G75" t="s">
        <v>489</v>
      </c>
      <c r="H75" t="s">
        <v>492</v>
      </c>
      <c r="I75">
        <v>3</v>
      </c>
      <c r="J75">
        <v>2212</v>
      </c>
      <c r="K75">
        <v>0</v>
      </c>
      <c r="L75">
        <v>2</v>
      </c>
      <c r="M75">
        <v>6636</v>
      </c>
    </row>
    <row r="76" spans="1:13" x14ac:dyDescent="0.3">
      <c r="A76" t="s">
        <v>87</v>
      </c>
      <c r="B76" s="2">
        <v>45366</v>
      </c>
      <c r="C76" t="s">
        <v>335</v>
      </c>
      <c r="D76" t="s">
        <v>481</v>
      </c>
      <c r="E76">
        <v>43</v>
      </c>
      <c r="F76" t="s">
        <v>485</v>
      </c>
      <c r="G76" t="s">
        <v>491</v>
      </c>
      <c r="H76" t="s">
        <v>493</v>
      </c>
      <c r="I76">
        <v>3</v>
      </c>
      <c r="J76">
        <v>1747</v>
      </c>
      <c r="K76">
        <v>10</v>
      </c>
      <c r="L76">
        <v>6</v>
      </c>
      <c r="M76">
        <v>4716.9000000000005</v>
      </c>
    </row>
    <row r="77" spans="1:13" x14ac:dyDescent="0.3">
      <c r="A77" t="s">
        <v>88</v>
      </c>
      <c r="B77" s="2">
        <v>45367</v>
      </c>
      <c r="C77" t="s">
        <v>336</v>
      </c>
      <c r="D77" t="s">
        <v>481</v>
      </c>
      <c r="E77">
        <v>33</v>
      </c>
      <c r="F77" t="s">
        <v>484</v>
      </c>
      <c r="G77" t="s">
        <v>488</v>
      </c>
      <c r="H77" t="s">
        <v>492</v>
      </c>
      <c r="I77">
        <v>4</v>
      </c>
      <c r="J77">
        <v>494</v>
      </c>
      <c r="K77">
        <v>0</v>
      </c>
      <c r="L77">
        <v>1</v>
      </c>
      <c r="M77">
        <v>1976</v>
      </c>
    </row>
    <row r="78" spans="1:13" x14ac:dyDescent="0.3">
      <c r="A78" t="s">
        <v>89</v>
      </c>
      <c r="B78" s="2">
        <v>45368</v>
      </c>
      <c r="C78" t="s">
        <v>337</v>
      </c>
      <c r="D78" t="s">
        <v>482</v>
      </c>
      <c r="E78">
        <v>54</v>
      </c>
      <c r="F78" t="s">
        <v>486</v>
      </c>
      <c r="G78" t="s">
        <v>487</v>
      </c>
      <c r="H78" t="s">
        <v>492</v>
      </c>
      <c r="I78">
        <v>3</v>
      </c>
      <c r="J78">
        <v>2185</v>
      </c>
      <c r="L78">
        <v>3</v>
      </c>
      <c r="M78">
        <v>6555</v>
      </c>
    </row>
    <row r="79" spans="1:13" x14ac:dyDescent="0.3">
      <c r="A79" t="s">
        <v>90</v>
      </c>
      <c r="B79" s="2">
        <v>45369</v>
      </c>
      <c r="C79" t="s">
        <v>338</v>
      </c>
      <c r="D79" t="s">
        <v>481</v>
      </c>
      <c r="E79">
        <v>39</v>
      </c>
      <c r="F79" t="s">
        <v>484</v>
      </c>
      <c r="G79" t="s">
        <v>490</v>
      </c>
      <c r="H79" t="s">
        <v>495</v>
      </c>
      <c r="I79">
        <v>1</v>
      </c>
      <c r="J79">
        <v>3317</v>
      </c>
      <c r="K79">
        <v>5</v>
      </c>
      <c r="L79">
        <v>2</v>
      </c>
      <c r="M79">
        <v>3151.15</v>
      </c>
    </row>
    <row r="80" spans="1:13" x14ac:dyDescent="0.3">
      <c r="A80" t="s">
        <v>91</v>
      </c>
      <c r="B80" s="2">
        <v>45370</v>
      </c>
      <c r="C80" t="s">
        <v>339</v>
      </c>
      <c r="D80" t="s">
        <v>481</v>
      </c>
      <c r="E80">
        <v>46</v>
      </c>
      <c r="F80" t="s">
        <v>483</v>
      </c>
      <c r="G80" t="s">
        <v>491</v>
      </c>
      <c r="H80" t="s">
        <v>493</v>
      </c>
      <c r="I80">
        <v>3</v>
      </c>
      <c r="J80">
        <v>1890</v>
      </c>
      <c r="K80">
        <v>0</v>
      </c>
      <c r="L80">
        <v>7</v>
      </c>
      <c r="M80">
        <v>5670</v>
      </c>
    </row>
    <row r="81" spans="1:13" x14ac:dyDescent="0.3">
      <c r="A81" t="s">
        <v>92</v>
      </c>
      <c r="B81" s="2">
        <v>45371</v>
      </c>
      <c r="C81" t="s">
        <v>340</v>
      </c>
      <c r="D81" t="s">
        <v>482</v>
      </c>
      <c r="E81">
        <v>31</v>
      </c>
      <c r="F81" t="s">
        <v>483</v>
      </c>
      <c r="G81" t="s">
        <v>489</v>
      </c>
      <c r="H81" t="s">
        <v>494</v>
      </c>
      <c r="I81">
        <v>5</v>
      </c>
      <c r="J81">
        <v>1336</v>
      </c>
      <c r="K81">
        <v>0</v>
      </c>
      <c r="L81">
        <v>4</v>
      </c>
      <c r="M81">
        <v>6680</v>
      </c>
    </row>
    <row r="82" spans="1:13" x14ac:dyDescent="0.3">
      <c r="A82" t="s">
        <v>93</v>
      </c>
      <c r="B82" s="2">
        <v>45372</v>
      </c>
      <c r="C82" t="s">
        <v>341</v>
      </c>
      <c r="D82" t="s">
        <v>482</v>
      </c>
      <c r="E82">
        <v>45</v>
      </c>
      <c r="F82" t="s">
        <v>483</v>
      </c>
      <c r="G82" t="s">
        <v>491</v>
      </c>
      <c r="H82" t="s">
        <v>492</v>
      </c>
      <c r="I82">
        <v>3</v>
      </c>
      <c r="J82">
        <v>2264</v>
      </c>
      <c r="K82">
        <v>0</v>
      </c>
      <c r="L82">
        <v>8</v>
      </c>
      <c r="M82">
        <v>6792</v>
      </c>
    </row>
    <row r="83" spans="1:13" x14ac:dyDescent="0.3">
      <c r="A83" t="s">
        <v>94</v>
      </c>
      <c r="B83" s="2">
        <v>45373</v>
      </c>
      <c r="C83" t="s">
        <v>280</v>
      </c>
      <c r="D83" t="s">
        <v>481</v>
      </c>
      <c r="E83">
        <v>22</v>
      </c>
      <c r="F83" t="s">
        <v>483</v>
      </c>
      <c r="G83" t="s">
        <v>487</v>
      </c>
      <c r="H83" t="s">
        <v>493</v>
      </c>
      <c r="I83">
        <v>2</v>
      </c>
      <c r="J83">
        <v>4655</v>
      </c>
      <c r="K83">
        <v>5</v>
      </c>
      <c r="L83">
        <v>6</v>
      </c>
      <c r="M83">
        <v>8844.5</v>
      </c>
    </row>
    <row r="84" spans="1:13" x14ac:dyDescent="0.3">
      <c r="A84" t="s">
        <v>95</v>
      </c>
      <c r="B84" s="2">
        <v>45374</v>
      </c>
      <c r="C84" t="s">
        <v>322</v>
      </c>
      <c r="D84" t="s">
        <v>482</v>
      </c>
      <c r="E84">
        <v>47</v>
      </c>
      <c r="F84" t="s">
        <v>485</v>
      </c>
      <c r="G84" t="s">
        <v>489</v>
      </c>
      <c r="H84" t="s">
        <v>495</v>
      </c>
      <c r="I84">
        <v>1</v>
      </c>
      <c r="J84">
        <v>4995</v>
      </c>
      <c r="K84">
        <v>0</v>
      </c>
      <c r="L84">
        <v>4</v>
      </c>
      <c r="M84">
        <v>4995</v>
      </c>
    </row>
    <row r="85" spans="1:13" x14ac:dyDescent="0.3">
      <c r="A85" t="s">
        <v>96</v>
      </c>
      <c r="B85" s="2">
        <v>45375</v>
      </c>
      <c r="C85" t="s">
        <v>342</v>
      </c>
      <c r="D85" t="s">
        <v>482</v>
      </c>
      <c r="E85">
        <v>22</v>
      </c>
      <c r="F85" t="s">
        <v>483</v>
      </c>
      <c r="G85" t="s">
        <v>488</v>
      </c>
      <c r="H85" t="s">
        <v>494</v>
      </c>
      <c r="I85">
        <v>2</v>
      </c>
      <c r="J85">
        <v>4743</v>
      </c>
      <c r="K85">
        <v>15</v>
      </c>
      <c r="L85">
        <v>5</v>
      </c>
      <c r="M85">
        <v>8063.0999999999995</v>
      </c>
    </row>
    <row r="86" spans="1:13" x14ac:dyDescent="0.3">
      <c r="A86" t="s">
        <v>97</v>
      </c>
      <c r="B86" s="2">
        <v>45376</v>
      </c>
      <c r="C86" t="s">
        <v>343</v>
      </c>
      <c r="D86" t="s">
        <v>481</v>
      </c>
      <c r="E86">
        <v>29</v>
      </c>
      <c r="F86" t="s">
        <v>485</v>
      </c>
      <c r="G86" t="s">
        <v>491</v>
      </c>
      <c r="H86" t="s">
        <v>493</v>
      </c>
      <c r="I86">
        <v>2</v>
      </c>
      <c r="J86">
        <v>4970</v>
      </c>
      <c r="K86">
        <v>5</v>
      </c>
      <c r="L86">
        <v>9</v>
      </c>
      <c r="M86">
        <v>9443</v>
      </c>
    </row>
    <row r="87" spans="1:13" x14ac:dyDescent="0.3">
      <c r="A87" t="s">
        <v>98</v>
      </c>
      <c r="B87" s="2">
        <v>45377</v>
      </c>
      <c r="C87" t="s">
        <v>344</v>
      </c>
      <c r="D87" t="s">
        <v>482</v>
      </c>
      <c r="E87">
        <v>33</v>
      </c>
      <c r="F87" t="s">
        <v>485</v>
      </c>
      <c r="G87" t="s">
        <v>487</v>
      </c>
      <c r="H87" t="s">
        <v>494</v>
      </c>
      <c r="I87">
        <v>5</v>
      </c>
      <c r="J87">
        <v>1207</v>
      </c>
      <c r="K87">
        <v>0</v>
      </c>
      <c r="L87">
        <v>7</v>
      </c>
      <c r="M87">
        <v>6035</v>
      </c>
    </row>
    <row r="88" spans="1:13" x14ac:dyDescent="0.3">
      <c r="A88" t="s">
        <v>99</v>
      </c>
      <c r="B88" s="2">
        <v>45378</v>
      </c>
      <c r="C88" t="s">
        <v>345</v>
      </c>
      <c r="D88" t="s">
        <v>482</v>
      </c>
      <c r="E88">
        <v>43</v>
      </c>
      <c r="F88" t="s">
        <v>483</v>
      </c>
      <c r="G88" t="s">
        <v>490</v>
      </c>
      <c r="H88" t="s">
        <v>494</v>
      </c>
      <c r="I88">
        <v>1</v>
      </c>
      <c r="J88">
        <v>2714</v>
      </c>
      <c r="K88">
        <v>10</v>
      </c>
      <c r="L88">
        <v>9</v>
      </c>
      <c r="M88">
        <v>2442.6</v>
      </c>
    </row>
    <row r="89" spans="1:13" x14ac:dyDescent="0.3">
      <c r="A89" t="s">
        <v>100</v>
      </c>
      <c r="B89" s="2">
        <v>45379</v>
      </c>
      <c r="C89" t="s">
        <v>346</v>
      </c>
      <c r="D89" t="s">
        <v>481</v>
      </c>
      <c r="E89">
        <v>43</v>
      </c>
      <c r="F89" t="s">
        <v>483</v>
      </c>
      <c r="G89" t="s">
        <v>489</v>
      </c>
      <c r="H89" t="s">
        <v>494</v>
      </c>
      <c r="I89">
        <v>1</v>
      </c>
      <c r="J89">
        <v>3726</v>
      </c>
      <c r="K89">
        <v>10</v>
      </c>
      <c r="L89">
        <v>7</v>
      </c>
      <c r="M89">
        <v>3353.4</v>
      </c>
    </row>
    <row r="90" spans="1:13" x14ac:dyDescent="0.3">
      <c r="A90" t="s">
        <v>101</v>
      </c>
      <c r="B90" s="2">
        <v>45380</v>
      </c>
      <c r="C90" t="s">
        <v>347</v>
      </c>
      <c r="D90" t="s">
        <v>481</v>
      </c>
      <c r="E90">
        <v>38</v>
      </c>
      <c r="F90" t="s">
        <v>486</v>
      </c>
      <c r="G90" t="s">
        <v>491</v>
      </c>
      <c r="H90" t="s">
        <v>492</v>
      </c>
      <c r="I90">
        <v>1</v>
      </c>
      <c r="J90">
        <v>4881</v>
      </c>
      <c r="K90">
        <v>0</v>
      </c>
      <c r="L90">
        <v>1</v>
      </c>
      <c r="M90">
        <v>4881</v>
      </c>
    </row>
    <row r="91" spans="1:13" x14ac:dyDescent="0.3">
      <c r="A91" t="s">
        <v>102</v>
      </c>
      <c r="B91" s="2">
        <v>45381</v>
      </c>
      <c r="C91" t="s">
        <v>348</v>
      </c>
      <c r="D91" t="s">
        <v>482</v>
      </c>
      <c r="E91">
        <v>56</v>
      </c>
      <c r="F91" t="s">
        <v>484</v>
      </c>
      <c r="G91" t="s">
        <v>491</v>
      </c>
      <c r="H91" t="s">
        <v>492</v>
      </c>
      <c r="I91">
        <v>1</v>
      </c>
      <c r="J91">
        <v>1447</v>
      </c>
      <c r="K91">
        <v>0</v>
      </c>
      <c r="L91">
        <v>8</v>
      </c>
      <c r="M91">
        <v>1447</v>
      </c>
    </row>
    <row r="92" spans="1:13" x14ac:dyDescent="0.3">
      <c r="A92" t="s">
        <v>103</v>
      </c>
      <c r="B92" s="2">
        <v>45382</v>
      </c>
      <c r="C92" t="s">
        <v>349</v>
      </c>
      <c r="D92" t="s">
        <v>482</v>
      </c>
      <c r="E92">
        <v>53</v>
      </c>
      <c r="F92" t="s">
        <v>483</v>
      </c>
      <c r="G92" t="s">
        <v>488</v>
      </c>
      <c r="H92" t="s">
        <v>495</v>
      </c>
      <c r="I92">
        <v>1</v>
      </c>
      <c r="J92">
        <v>4102</v>
      </c>
      <c r="K92">
        <v>0</v>
      </c>
      <c r="L92">
        <v>4</v>
      </c>
      <c r="M92">
        <v>4102</v>
      </c>
    </row>
    <row r="93" spans="1:13" x14ac:dyDescent="0.3">
      <c r="A93" t="s">
        <v>104</v>
      </c>
      <c r="B93" s="2">
        <v>45383</v>
      </c>
      <c r="C93" t="s">
        <v>350</v>
      </c>
      <c r="D93" t="s">
        <v>481</v>
      </c>
      <c r="E93">
        <v>50</v>
      </c>
      <c r="F93" t="s">
        <v>486</v>
      </c>
      <c r="G93" t="s">
        <v>488</v>
      </c>
      <c r="H93" t="s">
        <v>495</v>
      </c>
      <c r="I93">
        <v>5</v>
      </c>
      <c r="J93">
        <v>1635</v>
      </c>
      <c r="K93">
        <v>10</v>
      </c>
      <c r="L93">
        <v>3</v>
      </c>
      <c r="M93">
        <v>7357.5</v>
      </c>
    </row>
    <row r="94" spans="1:13" x14ac:dyDescent="0.3">
      <c r="A94" t="s">
        <v>105</v>
      </c>
      <c r="B94" s="2">
        <v>45384</v>
      </c>
      <c r="C94" t="s">
        <v>351</v>
      </c>
      <c r="D94" t="s">
        <v>481</v>
      </c>
      <c r="E94">
        <v>47</v>
      </c>
      <c r="F94" t="s">
        <v>486</v>
      </c>
      <c r="G94" t="s">
        <v>490</v>
      </c>
      <c r="H94" t="s">
        <v>493</v>
      </c>
      <c r="I94">
        <v>3</v>
      </c>
      <c r="J94">
        <v>771</v>
      </c>
      <c r="K94">
        <v>10</v>
      </c>
      <c r="L94">
        <v>7</v>
      </c>
      <c r="M94">
        <v>2081.6999999999998</v>
      </c>
    </row>
    <row r="95" spans="1:13" x14ac:dyDescent="0.3">
      <c r="A95" t="s">
        <v>106</v>
      </c>
      <c r="B95" s="2">
        <v>45385</v>
      </c>
      <c r="C95" t="s">
        <v>352</v>
      </c>
      <c r="D95" t="s">
        <v>481</v>
      </c>
      <c r="E95">
        <v>54</v>
      </c>
      <c r="F95" t="s">
        <v>484</v>
      </c>
      <c r="G95" t="s">
        <v>490</v>
      </c>
      <c r="H95" t="s">
        <v>495</v>
      </c>
      <c r="I95">
        <v>2</v>
      </c>
      <c r="J95">
        <v>2582</v>
      </c>
      <c r="K95">
        <v>5</v>
      </c>
      <c r="L95">
        <v>3</v>
      </c>
      <c r="M95">
        <v>4905.8</v>
      </c>
    </row>
    <row r="96" spans="1:13" x14ac:dyDescent="0.3">
      <c r="A96" t="s">
        <v>107</v>
      </c>
      <c r="B96" s="2">
        <v>45386</v>
      </c>
      <c r="C96" t="s">
        <v>353</v>
      </c>
      <c r="D96" t="s">
        <v>481</v>
      </c>
      <c r="E96">
        <v>40</v>
      </c>
      <c r="F96" t="s">
        <v>485</v>
      </c>
      <c r="G96" t="s">
        <v>487</v>
      </c>
      <c r="H96" t="s">
        <v>494</v>
      </c>
      <c r="I96">
        <v>1</v>
      </c>
      <c r="J96">
        <v>1445</v>
      </c>
      <c r="K96">
        <v>15</v>
      </c>
      <c r="L96">
        <v>8</v>
      </c>
      <c r="M96">
        <v>1228.25</v>
      </c>
    </row>
    <row r="97" spans="1:13" x14ac:dyDescent="0.3">
      <c r="A97" t="s">
        <v>108</v>
      </c>
      <c r="B97" s="2">
        <v>45387</v>
      </c>
      <c r="C97" t="s">
        <v>354</v>
      </c>
      <c r="D97" t="s">
        <v>482</v>
      </c>
      <c r="E97">
        <v>27</v>
      </c>
      <c r="F97" t="s">
        <v>483</v>
      </c>
      <c r="G97" t="s">
        <v>487</v>
      </c>
      <c r="H97" t="s">
        <v>494</v>
      </c>
      <c r="I97">
        <v>3</v>
      </c>
      <c r="J97">
        <v>2284</v>
      </c>
      <c r="K97">
        <v>15</v>
      </c>
      <c r="L97">
        <v>6</v>
      </c>
      <c r="M97">
        <v>5824.2</v>
      </c>
    </row>
    <row r="98" spans="1:13" x14ac:dyDescent="0.3">
      <c r="A98" t="s">
        <v>109</v>
      </c>
      <c r="B98" s="2">
        <v>45388</v>
      </c>
      <c r="C98" t="s">
        <v>355</v>
      </c>
      <c r="D98" t="s">
        <v>481</v>
      </c>
      <c r="E98">
        <v>22</v>
      </c>
      <c r="F98" t="s">
        <v>484</v>
      </c>
      <c r="G98" t="s">
        <v>490</v>
      </c>
      <c r="H98" t="s">
        <v>492</v>
      </c>
      <c r="I98">
        <v>3</v>
      </c>
      <c r="J98">
        <v>477</v>
      </c>
      <c r="K98">
        <v>5</v>
      </c>
      <c r="L98">
        <v>5</v>
      </c>
      <c r="M98">
        <v>1359.45</v>
      </c>
    </row>
    <row r="99" spans="1:13" x14ac:dyDescent="0.3">
      <c r="A99" t="s">
        <v>110</v>
      </c>
      <c r="B99" s="2">
        <v>45389</v>
      </c>
      <c r="C99" t="s">
        <v>356</v>
      </c>
      <c r="D99" t="s">
        <v>481</v>
      </c>
      <c r="E99">
        <v>53</v>
      </c>
      <c r="F99" t="s">
        <v>483</v>
      </c>
      <c r="G99" t="s">
        <v>490</v>
      </c>
      <c r="H99" t="s">
        <v>494</v>
      </c>
      <c r="I99">
        <v>2</v>
      </c>
      <c r="J99">
        <v>2087</v>
      </c>
      <c r="K99">
        <v>15</v>
      </c>
      <c r="L99">
        <v>4</v>
      </c>
      <c r="M99">
        <v>3547.9</v>
      </c>
    </row>
    <row r="100" spans="1:13" x14ac:dyDescent="0.3">
      <c r="A100" t="s">
        <v>111</v>
      </c>
      <c r="B100" s="2">
        <v>45390</v>
      </c>
      <c r="C100" t="s">
        <v>357</v>
      </c>
      <c r="D100" t="s">
        <v>482</v>
      </c>
      <c r="E100">
        <v>51</v>
      </c>
      <c r="F100" t="s">
        <v>486</v>
      </c>
      <c r="G100" t="s">
        <v>489</v>
      </c>
      <c r="H100" t="s">
        <v>493</v>
      </c>
      <c r="I100">
        <v>5</v>
      </c>
      <c r="J100">
        <v>4779</v>
      </c>
      <c r="K100">
        <v>0</v>
      </c>
      <c r="L100">
        <v>8</v>
      </c>
      <c r="M100">
        <v>23895</v>
      </c>
    </row>
    <row r="101" spans="1:13" x14ac:dyDescent="0.3">
      <c r="A101" t="s">
        <v>112</v>
      </c>
      <c r="B101" s="2">
        <v>45391</v>
      </c>
      <c r="C101" t="s">
        <v>266</v>
      </c>
      <c r="D101" t="s">
        <v>481</v>
      </c>
      <c r="E101">
        <v>48</v>
      </c>
      <c r="F101" t="s">
        <v>486</v>
      </c>
      <c r="G101" t="s">
        <v>488</v>
      </c>
      <c r="H101" t="s">
        <v>494</v>
      </c>
      <c r="I101">
        <v>4</v>
      </c>
      <c r="J101">
        <v>1465</v>
      </c>
      <c r="K101">
        <v>0</v>
      </c>
      <c r="L101">
        <v>8</v>
      </c>
      <c r="M101">
        <v>5860</v>
      </c>
    </row>
    <row r="102" spans="1:13" x14ac:dyDescent="0.3">
      <c r="A102" t="s">
        <v>113</v>
      </c>
      <c r="B102" s="2">
        <v>45392</v>
      </c>
      <c r="C102" t="s">
        <v>358</v>
      </c>
      <c r="D102" t="s">
        <v>482</v>
      </c>
      <c r="E102">
        <v>27</v>
      </c>
      <c r="F102" t="s">
        <v>485</v>
      </c>
      <c r="G102" t="s">
        <v>487</v>
      </c>
      <c r="H102" t="s">
        <v>494</v>
      </c>
      <c r="I102">
        <v>4</v>
      </c>
      <c r="J102">
        <v>1240</v>
      </c>
      <c r="K102">
        <v>0</v>
      </c>
      <c r="L102">
        <v>1</v>
      </c>
      <c r="M102">
        <v>4960</v>
      </c>
    </row>
    <row r="103" spans="1:13" x14ac:dyDescent="0.3">
      <c r="A103" t="s">
        <v>114</v>
      </c>
      <c r="B103" s="2">
        <v>45393</v>
      </c>
      <c r="C103" t="s">
        <v>359</v>
      </c>
      <c r="D103" t="s">
        <v>481</v>
      </c>
      <c r="E103">
        <v>36</v>
      </c>
      <c r="F103" t="s">
        <v>486</v>
      </c>
      <c r="G103" t="s">
        <v>488</v>
      </c>
      <c r="H103" t="s">
        <v>493</v>
      </c>
      <c r="I103">
        <v>3</v>
      </c>
      <c r="J103">
        <v>1117</v>
      </c>
      <c r="K103">
        <v>0</v>
      </c>
      <c r="L103">
        <v>9</v>
      </c>
      <c r="M103">
        <v>3351</v>
      </c>
    </row>
    <row r="104" spans="1:13" x14ac:dyDescent="0.3">
      <c r="A104" t="s">
        <v>115</v>
      </c>
      <c r="B104" s="2">
        <v>45394</v>
      </c>
      <c r="C104" t="s">
        <v>360</v>
      </c>
      <c r="D104" t="s">
        <v>481</v>
      </c>
      <c r="E104">
        <v>49</v>
      </c>
      <c r="F104" t="s">
        <v>486</v>
      </c>
      <c r="G104" t="s">
        <v>488</v>
      </c>
      <c r="H104" t="s">
        <v>495</v>
      </c>
      <c r="I104">
        <v>2</v>
      </c>
      <c r="J104">
        <v>1085</v>
      </c>
      <c r="K104">
        <v>5</v>
      </c>
      <c r="L104">
        <v>5</v>
      </c>
      <c r="M104">
        <v>2061.5</v>
      </c>
    </row>
    <row r="105" spans="1:13" x14ac:dyDescent="0.3">
      <c r="A105" t="s">
        <v>116</v>
      </c>
      <c r="B105" s="2">
        <v>45395</v>
      </c>
      <c r="C105" t="s">
        <v>361</v>
      </c>
      <c r="D105" t="s">
        <v>481</v>
      </c>
      <c r="E105">
        <v>18</v>
      </c>
      <c r="F105" t="s">
        <v>484</v>
      </c>
      <c r="G105" t="s">
        <v>490</v>
      </c>
      <c r="H105" t="s">
        <v>495</v>
      </c>
      <c r="I105">
        <v>4</v>
      </c>
      <c r="J105">
        <v>2952</v>
      </c>
      <c r="L105">
        <v>4</v>
      </c>
      <c r="M105">
        <v>11808</v>
      </c>
    </row>
    <row r="106" spans="1:13" x14ac:dyDescent="0.3">
      <c r="A106" t="s">
        <v>117</v>
      </c>
      <c r="B106" s="2">
        <v>45396</v>
      </c>
      <c r="C106" t="s">
        <v>362</v>
      </c>
      <c r="D106" t="s">
        <v>482</v>
      </c>
      <c r="E106">
        <v>22</v>
      </c>
      <c r="F106" t="s">
        <v>483</v>
      </c>
      <c r="G106" t="s">
        <v>489</v>
      </c>
      <c r="H106" t="s">
        <v>493</v>
      </c>
      <c r="I106">
        <v>3</v>
      </c>
      <c r="J106">
        <v>221</v>
      </c>
      <c r="K106">
        <v>0</v>
      </c>
      <c r="L106">
        <v>6</v>
      </c>
      <c r="M106">
        <v>663</v>
      </c>
    </row>
    <row r="107" spans="1:13" x14ac:dyDescent="0.3">
      <c r="A107" t="s">
        <v>118</v>
      </c>
      <c r="B107" s="2">
        <v>45397</v>
      </c>
      <c r="C107" t="s">
        <v>363</v>
      </c>
      <c r="D107" t="s">
        <v>482</v>
      </c>
      <c r="E107">
        <v>21</v>
      </c>
      <c r="F107" t="s">
        <v>483</v>
      </c>
      <c r="G107" t="s">
        <v>491</v>
      </c>
      <c r="H107" t="s">
        <v>492</v>
      </c>
      <c r="I107">
        <v>5</v>
      </c>
      <c r="J107">
        <v>4769</v>
      </c>
      <c r="K107">
        <v>0</v>
      </c>
      <c r="L107">
        <v>6</v>
      </c>
      <c r="M107">
        <v>23845</v>
      </c>
    </row>
    <row r="108" spans="1:13" x14ac:dyDescent="0.3">
      <c r="A108" t="s">
        <v>119</v>
      </c>
      <c r="B108" s="2">
        <v>45398</v>
      </c>
      <c r="C108" t="s">
        <v>364</v>
      </c>
      <c r="D108" t="s">
        <v>481</v>
      </c>
      <c r="E108">
        <v>33</v>
      </c>
      <c r="F108" t="s">
        <v>484</v>
      </c>
      <c r="G108" t="s">
        <v>489</v>
      </c>
      <c r="H108" t="s">
        <v>494</v>
      </c>
      <c r="I108">
        <v>4</v>
      </c>
      <c r="J108">
        <v>3391</v>
      </c>
      <c r="K108">
        <v>5</v>
      </c>
      <c r="L108">
        <v>2</v>
      </c>
      <c r="M108">
        <v>12885.8</v>
      </c>
    </row>
    <row r="109" spans="1:13" x14ac:dyDescent="0.3">
      <c r="A109" t="s">
        <v>120</v>
      </c>
      <c r="B109" s="2">
        <v>45399</v>
      </c>
      <c r="C109" t="s">
        <v>365</v>
      </c>
      <c r="D109" t="s">
        <v>482</v>
      </c>
      <c r="E109">
        <v>41</v>
      </c>
      <c r="F109" t="s">
        <v>485</v>
      </c>
      <c r="G109" t="s">
        <v>489</v>
      </c>
      <c r="H109" t="s">
        <v>493</v>
      </c>
      <c r="I109">
        <v>3</v>
      </c>
      <c r="J109">
        <v>2553</v>
      </c>
      <c r="L109">
        <v>8</v>
      </c>
      <c r="M109">
        <v>7659</v>
      </c>
    </row>
    <row r="110" spans="1:13" x14ac:dyDescent="0.3">
      <c r="A110" t="s">
        <v>121</v>
      </c>
      <c r="B110" s="2">
        <v>45400</v>
      </c>
      <c r="C110" t="s">
        <v>366</v>
      </c>
      <c r="D110" t="s">
        <v>482</v>
      </c>
      <c r="E110">
        <v>33</v>
      </c>
      <c r="F110" t="s">
        <v>483</v>
      </c>
      <c r="G110" t="s">
        <v>488</v>
      </c>
      <c r="H110" t="s">
        <v>494</v>
      </c>
      <c r="I110">
        <v>3</v>
      </c>
      <c r="J110">
        <v>4999</v>
      </c>
      <c r="K110">
        <v>0</v>
      </c>
      <c r="L110">
        <v>7</v>
      </c>
      <c r="M110">
        <v>14997</v>
      </c>
    </row>
    <row r="111" spans="1:13" x14ac:dyDescent="0.3">
      <c r="A111" t="s">
        <v>122</v>
      </c>
      <c r="B111" s="2">
        <v>45401</v>
      </c>
      <c r="C111" t="s">
        <v>367</v>
      </c>
      <c r="D111" t="s">
        <v>482</v>
      </c>
      <c r="E111">
        <v>19</v>
      </c>
      <c r="F111" t="s">
        <v>486</v>
      </c>
      <c r="G111" t="s">
        <v>489</v>
      </c>
      <c r="H111" t="s">
        <v>492</v>
      </c>
      <c r="I111">
        <v>1</v>
      </c>
      <c r="J111">
        <v>886</v>
      </c>
      <c r="K111">
        <v>5</v>
      </c>
      <c r="L111">
        <v>1</v>
      </c>
      <c r="M111">
        <v>841.69999999999993</v>
      </c>
    </row>
    <row r="112" spans="1:13" x14ac:dyDescent="0.3">
      <c r="A112" t="s">
        <v>123</v>
      </c>
      <c r="B112" s="2">
        <v>45402</v>
      </c>
      <c r="C112" t="s">
        <v>368</v>
      </c>
      <c r="D112" t="s">
        <v>482</v>
      </c>
      <c r="E112">
        <v>45</v>
      </c>
      <c r="F112" t="s">
        <v>483</v>
      </c>
      <c r="G112" t="s">
        <v>487</v>
      </c>
      <c r="H112" t="s">
        <v>494</v>
      </c>
      <c r="I112">
        <v>5</v>
      </c>
      <c r="J112">
        <v>484</v>
      </c>
      <c r="K112">
        <v>0</v>
      </c>
      <c r="L112">
        <v>5</v>
      </c>
      <c r="M112">
        <v>2420</v>
      </c>
    </row>
    <row r="113" spans="1:13" x14ac:dyDescent="0.3">
      <c r="A113" t="s">
        <v>124</v>
      </c>
      <c r="B113" s="2">
        <v>45403</v>
      </c>
      <c r="C113" t="s">
        <v>369</v>
      </c>
      <c r="D113" t="s">
        <v>482</v>
      </c>
      <c r="E113">
        <v>49</v>
      </c>
      <c r="F113" t="s">
        <v>486</v>
      </c>
      <c r="G113" t="s">
        <v>488</v>
      </c>
      <c r="H113" t="s">
        <v>493</v>
      </c>
      <c r="I113">
        <v>1</v>
      </c>
      <c r="J113">
        <v>3947</v>
      </c>
      <c r="K113">
        <v>0</v>
      </c>
      <c r="L113">
        <v>6</v>
      </c>
      <c r="M113">
        <v>3947</v>
      </c>
    </row>
    <row r="114" spans="1:13" x14ac:dyDescent="0.3">
      <c r="A114" t="s">
        <v>125</v>
      </c>
      <c r="B114" s="2">
        <v>45404</v>
      </c>
      <c r="C114" t="s">
        <v>370</v>
      </c>
      <c r="D114" t="s">
        <v>482</v>
      </c>
      <c r="E114">
        <v>44</v>
      </c>
      <c r="F114" t="s">
        <v>485</v>
      </c>
      <c r="G114" t="s">
        <v>487</v>
      </c>
      <c r="H114" t="s">
        <v>494</v>
      </c>
      <c r="I114">
        <v>2</v>
      </c>
      <c r="J114">
        <v>962</v>
      </c>
      <c r="L114">
        <v>4</v>
      </c>
      <c r="M114">
        <v>1924</v>
      </c>
    </row>
    <row r="115" spans="1:13" x14ac:dyDescent="0.3">
      <c r="A115" t="s">
        <v>126</v>
      </c>
      <c r="B115" s="2">
        <v>45405</v>
      </c>
      <c r="C115" t="s">
        <v>371</v>
      </c>
      <c r="D115" t="s">
        <v>481</v>
      </c>
      <c r="E115">
        <v>37</v>
      </c>
      <c r="F115" t="s">
        <v>484</v>
      </c>
      <c r="G115" t="s">
        <v>491</v>
      </c>
      <c r="H115" t="s">
        <v>495</v>
      </c>
      <c r="I115">
        <v>1</v>
      </c>
      <c r="J115">
        <v>2628</v>
      </c>
      <c r="L115">
        <v>2</v>
      </c>
      <c r="M115">
        <v>2628</v>
      </c>
    </row>
    <row r="116" spans="1:13" x14ac:dyDescent="0.3">
      <c r="A116" t="s">
        <v>127</v>
      </c>
      <c r="B116" s="2">
        <v>45406</v>
      </c>
      <c r="C116" t="s">
        <v>372</v>
      </c>
      <c r="D116" t="s">
        <v>481</v>
      </c>
      <c r="E116">
        <v>41</v>
      </c>
      <c r="F116" t="s">
        <v>483</v>
      </c>
      <c r="G116" t="s">
        <v>488</v>
      </c>
      <c r="H116" t="s">
        <v>492</v>
      </c>
      <c r="I116">
        <v>1</v>
      </c>
      <c r="J116">
        <v>2707</v>
      </c>
      <c r="K116">
        <v>0</v>
      </c>
      <c r="L116">
        <v>4</v>
      </c>
      <c r="M116">
        <v>2707</v>
      </c>
    </row>
    <row r="117" spans="1:13" x14ac:dyDescent="0.3">
      <c r="A117" t="s">
        <v>128</v>
      </c>
      <c r="B117" s="2">
        <v>45407</v>
      </c>
      <c r="C117" t="s">
        <v>373</v>
      </c>
      <c r="D117" t="s">
        <v>482</v>
      </c>
      <c r="E117">
        <v>29</v>
      </c>
      <c r="F117" t="s">
        <v>484</v>
      </c>
      <c r="G117" t="s">
        <v>491</v>
      </c>
      <c r="H117" t="s">
        <v>492</v>
      </c>
      <c r="I117">
        <v>4</v>
      </c>
      <c r="J117">
        <v>228</v>
      </c>
      <c r="L117">
        <v>1</v>
      </c>
      <c r="M117">
        <v>912</v>
      </c>
    </row>
    <row r="118" spans="1:13" x14ac:dyDescent="0.3">
      <c r="A118" t="s">
        <v>129</v>
      </c>
      <c r="B118" s="2">
        <v>45408</v>
      </c>
      <c r="C118" t="s">
        <v>374</v>
      </c>
      <c r="D118" t="s">
        <v>481</v>
      </c>
      <c r="E118">
        <v>52</v>
      </c>
      <c r="F118" t="s">
        <v>483</v>
      </c>
      <c r="G118" t="s">
        <v>488</v>
      </c>
      <c r="H118" t="s">
        <v>492</v>
      </c>
      <c r="I118">
        <v>3</v>
      </c>
      <c r="J118">
        <v>1106</v>
      </c>
      <c r="K118">
        <v>10</v>
      </c>
      <c r="L118">
        <v>7</v>
      </c>
      <c r="M118">
        <v>2986.2</v>
      </c>
    </row>
    <row r="119" spans="1:13" x14ac:dyDescent="0.3">
      <c r="A119" t="s">
        <v>130</v>
      </c>
      <c r="B119" s="2">
        <v>45409</v>
      </c>
      <c r="C119" t="s">
        <v>375</v>
      </c>
      <c r="D119" t="s">
        <v>481</v>
      </c>
      <c r="E119">
        <v>50</v>
      </c>
      <c r="F119" t="s">
        <v>486</v>
      </c>
      <c r="G119" t="s">
        <v>490</v>
      </c>
      <c r="H119" t="s">
        <v>493</v>
      </c>
      <c r="I119">
        <v>5</v>
      </c>
      <c r="J119">
        <v>3304</v>
      </c>
      <c r="K119">
        <v>15</v>
      </c>
      <c r="L119">
        <v>2</v>
      </c>
      <c r="M119">
        <v>14042</v>
      </c>
    </row>
    <row r="120" spans="1:13" x14ac:dyDescent="0.3">
      <c r="A120" t="s">
        <v>131</v>
      </c>
      <c r="B120" s="2">
        <v>45410</v>
      </c>
      <c r="C120" t="s">
        <v>376</v>
      </c>
      <c r="D120" t="s">
        <v>481</v>
      </c>
      <c r="E120">
        <v>50</v>
      </c>
      <c r="F120" t="s">
        <v>484</v>
      </c>
      <c r="G120" t="s">
        <v>489</v>
      </c>
      <c r="H120" t="s">
        <v>492</v>
      </c>
      <c r="I120">
        <v>1</v>
      </c>
      <c r="J120">
        <v>4199</v>
      </c>
      <c r="K120">
        <v>5</v>
      </c>
      <c r="L120">
        <v>2</v>
      </c>
      <c r="M120">
        <v>3989.05</v>
      </c>
    </row>
    <row r="121" spans="1:13" x14ac:dyDescent="0.3">
      <c r="A121" t="s">
        <v>132</v>
      </c>
      <c r="B121" s="2">
        <v>45411</v>
      </c>
      <c r="C121" t="s">
        <v>377</v>
      </c>
      <c r="D121" t="s">
        <v>481</v>
      </c>
      <c r="E121">
        <v>54</v>
      </c>
      <c r="F121" t="s">
        <v>483</v>
      </c>
      <c r="G121" t="s">
        <v>490</v>
      </c>
      <c r="H121" t="s">
        <v>495</v>
      </c>
      <c r="I121">
        <v>5</v>
      </c>
      <c r="J121">
        <v>3194</v>
      </c>
      <c r="K121">
        <v>5</v>
      </c>
      <c r="L121">
        <v>9</v>
      </c>
      <c r="M121">
        <v>15171.5</v>
      </c>
    </row>
    <row r="122" spans="1:13" x14ac:dyDescent="0.3">
      <c r="A122" t="s">
        <v>133</v>
      </c>
      <c r="B122" s="2">
        <v>45412</v>
      </c>
      <c r="C122" t="s">
        <v>378</v>
      </c>
      <c r="D122" t="s">
        <v>482</v>
      </c>
      <c r="E122">
        <v>29</v>
      </c>
      <c r="F122" t="s">
        <v>486</v>
      </c>
      <c r="G122" t="s">
        <v>491</v>
      </c>
      <c r="H122" t="s">
        <v>493</v>
      </c>
      <c r="I122">
        <v>1</v>
      </c>
      <c r="J122">
        <v>2706</v>
      </c>
      <c r="K122">
        <v>5</v>
      </c>
      <c r="L122">
        <v>5</v>
      </c>
      <c r="M122">
        <v>2570.6999999999998</v>
      </c>
    </row>
    <row r="123" spans="1:13" x14ac:dyDescent="0.3">
      <c r="A123" t="s">
        <v>134</v>
      </c>
      <c r="B123" s="2">
        <v>45413</v>
      </c>
      <c r="C123" t="s">
        <v>379</v>
      </c>
      <c r="D123" t="s">
        <v>481</v>
      </c>
      <c r="E123">
        <v>20</v>
      </c>
      <c r="F123" t="s">
        <v>484</v>
      </c>
      <c r="G123" t="s">
        <v>489</v>
      </c>
      <c r="H123" t="s">
        <v>495</v>
      </c>
      <c r="I123">
        <v>2</v>
      </c>
      <c r="J123">
        <v>4865</v>
      </c>
      <c r="K123">
        <v>10</v>
      </c>
      <c r="L123">
        <v>2</v>
      </c>
      <c r="M123">
        <v>8757</v>
      </c>
    </row>
    <row r="124" spans="1:13" x14ac:dyDescent="0.3">
      <c r="A124" t="s">
        <v>135</v>
      </c>
      <c r="B124" s="2">
        <v>45414</v>
      </c>
      <c r="C124" t="s">
        <v>380</v>
      </c>
      <c r="D124" t="s">
        <v>481</v>
      </c>
      <c r="E124">
        <v>18</v>
      </c>
      <c r="F124" t="s">
        <v>484</v>
      </c>
      <c r="G124" t="s">
        <v>488</v>
      </c>
      <c r="H124" t="s">
        <v>494</v>
      </c>
      <c r="I124">
        <v>1</v>
      </c>
      <c r="J124">
        <v>3809</v>
      </c>
      <c r="K124">
        <v>0</v>
      </c>
      <c r="L124">
        <v>9</v>
      </c>
      <c r="M124">
        <v>3809</v>
      </c>
    </row>
    <row r="125" spans="1:13" x14ac:dyDescent="0.3">
      <c r="A125" t="s">
        <v>136</v>
      </c>
      <c r="B125" s="2">
        <v>45415</v>
      </c>
      <c r="C125" t="s">
        <v>299</v>
      </c>
      <c r="D125" t="s">
        <v>482</v>
      </c>
      <c r="E125">
        <v>50</v>
      </c>
      <c r="F125" t="s">
        <v>483</v>
      </c>
      <c r="G125" t="s">
        <v>489</v>
      </c>
      <c r="H125" t="s">
        <v>494</v>
      </c>
      <c r="I125">
        <v>4</v>
      </c>
      <c r="J125">
        <v>3753</v>
      </c>
      <c r="K125">
        <v>0</v>
      </c>
      <c r="L125">
        <v>9</v>
      </c>
      <c r="M125">
        <v>15012</v>
      </c>
    </row>
    <row r="126" spans="1:13" x14ac:dyDescent="0.3">
      <c r="A126" t="s">
        <v>137</v>
      </c>
      <c r="B126" s="2">
        <v>45416</v>
      </c>
      <c r="C126" t="s">
        <v>381</v>
      </c>
      <c r="D126" t="s">
        <v>482</v>
      </c>
      <c r="E126">
        <v>57</v>
      </c>
      <c r="F126" t="s">
        <v>483</v>
      </c>
      <c r="G126" t="s">
        <v>487</v>
      </c>
      <c r="H126" t="s">
        <v>494</v>
      </c>
      <c r="I126">
        <v>3</v>
      </c>
      <c r="J126">
        <v>1653</v>
      </c>
      <c r="K126">
        <v>0</v>
      </c>
      <c r="L126">
        <v>1</v>
      </c>
      <c r="M126">
        <v>4959</v>
      </c>
    </row>
    <row r="127" spans="1:13" x14ac:dyDescent="0.3">
      <c r="A127" t="s">
        <v>138</v>
      </c>
      <c r="B127" s="2">
        <v>45417</v>
      </c>
      <c r="C127" t="s">
        <v>382</v>
      </c>
      <c r="D127" t="s">
        <v>481</v>
      </c>
      <c r="E127">
        <v>27</v>
      </c>
      <c r="F127" t="s">
        <v>483</v>
      </c>
      <c r="G127" t="s">
        <v>489</v>
      </c>
      <c r="H127" t="s">
        <v>494</v>
      </c>
      <c r="I127">
        <v>2</v>
      </c>
      <c r="J127">
        <v>3556</v>
      </c>
      <c r="K127">
        <v>10</v>
      </c>
      <c r="L127">
        <v>3</v>
      </c>
      <c r="M127">
        <v>6400.8</v>
      </c>
    </row>
    <row r="128" spans="1:13" x14ac:dyDescent="0.3">
      <c r="A128" t="s">
        <v>139</v>
      </c>
      <c r="B128" s="2">
        <v>45418</v>
      </c>
      <c r="C128" t="s">
        <v>286</v>
      </c>
      <c r="D128" t="s">
        <v>481</v>
      </c>
      <c r="E128">
        <v>46</v>
      </c>
      <c r="F128" t="s">
        <v>486</v>
      </c>
      <c r="G128" t="s">
        <v>487</v>
      </c>
      <c r="H128" t="s">
        <v>495</v>
      </c>
      <c r="I128">
        <v>1</v>
      </c>
      <c r="J128">
        <v>715</v>
      </c>
      <c r="K128">
        <v>0</v>
      </c>
      <c r="L128">
        <v>4</v>
      </c>
      <c r="M128">
        <v>715</v>
      </c>
    </row>
    <row r="129" spans="1:13" x14ac:dyDescent="0.3">
      <c r="A129" t="s">
        <v>140</v>
      </c>
      <c r="B129" s="2">
        <v>45419</v>
      </c>
      <c r="C129" t="s">
        <v>383</v>
      </c>
      <c r="D129" t="s">
        <v>481</v>
      </c>
      <c r="E129">
        <v>30</v>
      </c>
      <c r="F129" t="s">
        <v>483</v>
      </c>
      <c r="G129" t="s">
        <v>489</v>
      </c>
      <c r="H129" t="s">
        <v>493</v>
      </c>
      <c r="I129">
        <v>5</v>
      </c>
      <c r="J129">
        <v>238</v>
      </c>
      <c r="K129">
        <v>10</v>
      </c>
      <c r="L129">
        <v>7</v>
      </c>
      <c r="M129">
        <v>1071</v>
      </c>
    </row>
    <row r="130" spans="1:13" x14ac:dyDescent="0.3">
      <c r="A130" t="s">
        <v>141</v>
      </c>
      <c r="B130" s="2">
        <v>45420</v>
      </c>
      <c r="C130" t="s">
        <v>384</v>
      </c>
      <c r="D130" t="s">
        <v>481</v>
      </c>
      <c r="E130">
        <v>29</v>
      </c>
      <c r="F130" t="s">
        <v>484</v>
      </c>
      <c r="G130" t="s">
        <v>487</v>
      </c>
      <c r="H130" t="s">
        <v>493</v>
      </c>
      <c r="I130">
        <v>2</v>
      </c>
      <c r="J130">
        <v>3542</v>
      </c>
      <c r="L130">
        <v>4</v>
      </c>
      <c r="M130">
        <v>7084</v>
      </c>
    </row>
    <row r="131" spans="1:13" x14ac:dyDescent="0.3">
      <c r="A131" t="s">
        <v>142</v>
      </c>
      <c r="B131" s="2">
        <v>45421</v>
      </c>
      <c r="C131" t="s">
        <v>385</v>
      </c>
      <c r="D131" t="s">
        <v>481</v>
      </c>
      <c r="E131">
        <v>48</v>
      </c>
      <c r="F131" t="s">
        <v>484</v>
      </c>
      <c r="G131" t="s">
        <v>491</v>
      </c>
      <c r="H131" t="s">
        <v>492</v>
      </c>
      <c r="I131">
        <v>2</v>
      </c>
      <c r="J131">
        <v>1086</v>
      </c>
      <c r="K131">
        <v>0</v>
      </c>
      <c r="L131">
        <v>2</v>
      </c>
      <c r="M131">
        <v>2172</v>
      </c>
    </row>
    <row r="132" spans="1:13" x14ac:dyDescent="0.3">
      <c r="A132" t="s">
        <v>143</v>
      </c>
      <c r="B132" s="2">
        <v>45422</v>
      </c>
      <c r="C132" t="s">
        <v>386</v>
      </c>
      <c r="D132" t="s">
        <v>481</v>
      </c>
      <c r="E132">
        <v>19</v>
      </c>
      <c r="F132" t="s">
        <v>483</v>
      </c>
      <c r="G132" t="s">
        <v>490</v>
      </c>
      <c r="H132" t="s">
        <v>495</v>
      </c>
      <c r="I132">
        <v>1</v>
      </c>
      <c r="J132">
        <v>3044</v>
      </c>
      <c r="K132">
        <v>10</v>
      </c>
      <c r="L132">
        <v>7</v>
      </c>
      <c r="M132">
        <v>2739.6</v>
      </c>
    </row>
    <row r="133" spans="1:13" x14ac:dyDescent="0.3">
      <c r="A133" t="s">
        <v>144</v>
      </c>
      <c r="B133" s="2">
        <v>45423</v>
      </c>
      <c r="C133" t="s">
        <v>387</v>
      </c>
      <c r="D133" t="s">
        <v>482</v>
      </c>
      <c r="E133">
        <v>52</v>
      </c>
      <c r="F133" t="s">
        <v>483</v>
      </c>
      <c r="G133" t="s">
        <v>488</v>
      </c>
      <c r="H133" t="s">
        <v>494</v>
      </c>
      <c r="I133">
        <v>2</v>
      </c>
      <c r="J133">
        <v>2404</v>
      </c>
      <c r="K133">
        <v>5</v>
      </c>
      <c r="L133">
        <v>6</v>
      </c>
      <c r="M133">
        <v>4567.5999999999995</v>
      </c>
    </row>
    <row r="134" spans="1:13" x14ac:dyDescent="0.3">
      <c r="A134" t="s">
        <v>145</v>
      </c>
      <c r="B134" s="2">
        <v>45424</v>
      </c>
      <c r="C134" t="s">
        <v>388</v>
      </c>
      <c r="D134" t="s">
        <v>481</v>
      </c>
      <c r="E134">
        <v>40</v>
      </c>
      <c r="F134" t="s">
        <v>485</v>
      </c>
      <c r="G134" t="s">
        <v>489</v>
      </c>
      <c r="H134" t="s">
        <v>495</v>
      </c>
      <c r="I134">
        <v>5</v>
      </c>
      <c r="J134">
        <v>1298</v>
      </c>
      <c r="K134">
        <v>15</v>
      </c>
      <c r="L134">
        <v>3</v>
      </c>
      <c r="M134">
        <v>5516.5</v>
      </c>
    </row>
    <row r="135" spans="1:13" x14ac:dyDescent="0.3">
      <c r="A135" t="s">
        <v>146</v>
      </c>
      <c r="B135" s="2">
        <v>45425</v>
      </c>
      <c r="C135" t="s">
        <v>389</v>
      </c>
      <c r="D135" t="s">
        <v>481</v>
      </c>
      <c r="E135">
        <v>34</v>
      </c>
      <c r="F135" t="s">
        <v>484</v>
      </c>
      <c r="G135" t="s">
        <v>490</v>
      </c>
      <c r="H135" t="s">
        <v>492</v>
      </c>
      <c r="I135">
        <v>2</v>
      </c>
      <c r="J135">
        <v>2023</v>
      </c>
      <c r="K135">
        <v>0</v>
      </c>
      <c r="L135">
        <v>6</v>
      </c>
      <c r="M135">
        <v>4046</v>
      </c>
    </row>
    <row r="136" spans="1:13" x14ac:dyDescent="0.3">
      <c r="A136" t="s">
        <v>147</v>
      </c>
      <c r="B136" s="2">
        <v>45426</v>
      </c>
      <c r="C136" t="s">
        <v>390</v>
      </c>
      <c r="D136" t="s">
        <v>482</v>
      </c>
      <c r="E136">
        <v>43</v>
      </c>
      <c r="F136" t="s">
        <v>486</v>
      </c>
      <c r="G136" t="s">
        <v>488</v>
      </c>
      <c r="H136" t="s">
        <v>492</v>
      </c>
      <c r="I136">
        <v>5</v>
      </c>
      <c r="J136">
        <v>3401</v>
      </c>
      <c r="K136">
        <v>10</v>
      </c>
      <c r="L136">
        <v>6</v>
      </c>
      <c r="M136">
        <v>15304.5</v>
      </c>
    </row>
    <row r="137" spans="1:13" x14ac:dyDescent="0.3">
      <c r="A137" t="s">
        <v>148</v>
      </c>
      <c r="B137" s="2">
        <v>45427</v>
      </c>
      <c r="C137" t="s">
        <v>391</v>
      </c>
      <c r="D137" t="s">
        <v>482</v>
      </c>
      <c r="E137">
        <v>25</v>
      </c>
      <c r="F137" t="s">
        <v>485</v>
      </c>
      <c r="G137" t="s">
        <v>488</v>
      </c>
      <c r="H137" t="s">
        <v>495</v>
      </c>
      <c r="I137">
        <v>1</v>
      </c>
      <c r="J137">
        <v>3355</v>
      </c>
      <c r="K137">
        <v>15</v>
      </c>
      <c r="L137">
        <v>5</v>
      </c>
      <c r="M137">
        <v>2851.75</v>
      </c>
    </row>
    <row r="138" spans="1:13" x14ac:dyDescent="0.3">
      <c r="A138" t="s">
        <v>149</v>
      </c>
      <c r="B138" s="2">
        <v>45428</v>
      </c>
      <c r="C138" t="s">
        <v>392</v>
      </c>
      <c r="D138" t="s">
        <v>482</v>
      </c>
      <c r="E138">
        <v>46</v>
      </c>
      <c r="F138" t="s">
        <v>483</v>
      </c>
      <c r="G138" t="s">
        <v>487</v>
      </c>
      <c r="H138" t="s">
        <v>495</v>
      </c>
      <c r="I138">
        <v>3</v>
      </c>
      <c r="J138">
        <v>3293</v>
      </c>
      <c r="L138">
        <v>4</v>
      </c>
      <c r="M138">
        <v>9879</v>
      </c>
    </row>
    <row r="139" spans="1:13" x14ac:dyDescent="0.3">
      <c r="A139" t="s">
        <v>150</v>
      </c>
      <c r="B139" s="2">
        <v>45429</v>
      </c>
      <c r="C139" t="s">
        <v>393</v>
      </c>
      <c r="D139" t="s">
        <v>482</v>
      </c>
      <c r="E139">
        <v>43</v>
      </c>
      <c r="F139" t="s">
        <v>483</v>
      </c>
      <c r="G139" t="s">
        <v>491</v>
      </c>
      <c r="H139" t="s">
        <v>495</v>
      </c>
      <c r="I139">
        <v>2</v>
      </c>
      <c r="J139">
        <v>3730</v>
      </c>
      <c r="K139">
        <v>10</v>
      </c>
      <c r="L139">
        <v>1</v>
      </c>
      <c r="M139">
        <v>6714</v>
      </c>
    </row>
    <row r="140" spans="1:13" x14ac:dyDescent="0.3">
      <c r="A140" t="s">
        <v>151</v>
      </c>
      <c r="B140" s="2">
        <v>45430</v>
      </c>
      <c r="C140" t="s">
        <v>394</v>
      </c>
      <c r="D140" t="s">
        <v>481</v>
      </c>
      <c r="E140">
        <v>27</v>
      </c>
      <c r="F140" t="s">
        <v>484</v>
      </c>
      <c r="G140" t="s">
        <v>491</v>
      </c>
      <c r="H140" t="s">
        <v>493</v>
      </c>
      <c r="I140">
        <v>3</v>
      </c>
      <c r="J140">
        <v>3978</v>
      </c>
      <c r="K140">
        <v>5</v>
      </c>
      <c r="L140">
        <v>6</v>
      </c>
      <c r="M140">
        <v>11337.3</v>
      </c>
    </row>
    <row r="141" spans="1:13" x14ac:dyDescent="0.3">
      <c r="A141" t="s">
        <v>152</v>
      </c>
      <c r="B141" s="2">
        <v>45431</v>
      </c>
      <c r="C141" t="s">
        <v>395</v>
      </c>
      <c r="D141" t="s">
        <v>481</v>
      </c>
      <c r="E141">
        <v>43</v>
      </c>
      <c r="F141" t="s">
        <v>483</v>
      </c>
      <c r="G141" t="s">
        <v>490</v>
      </c>
      <c r="H141" t="s">
        <v>494</v>
      </c>
      <c r="I141">
        <v>5</v>
      </c>
      <c r="J141">
        <v>3096</v>
      </c>
      <c r="K141">
        <v>10</v>
      </c>
      <c r="L141">
        <v>2</v>
      </c>
      <c r="M141">
        <v>13932</v>
      </c>
    </row>
    <row r="142" spans="1:13" x14ac:dyDescent="0.3">
      <c r="A142" t="s">
        <v>153</v>
      </c>
      <c r="B142" s="2">
        <v>45432</v>
      </c>
      <c r="C142" t="s">
        <v>396</v>
      </c>
      <c r="D142" t="s">
        <v>481</v>
      </c>
      <c r="E142">
        <v>51</v>
      </c>
      <c r="F142" t="s">
        <v>486</v>
      </c>
      <c r="G142" t="s">
        <v>491</v>
      </c>
      <c r="H142" t="s">
        <v>495</v>
      </c>
      <c r="I142">
        <v>2</v>
      </c>
      <c r="J142">
        <v>3653</v>
      </c>
      <c r="K142">
        <v>15</v>
      </c>
      <c r="L142">
        <v>3</v>
      </c>
      <c r="M142">
        <v>6210.0999999999995</v>
      </c>
    </row>
    <row r="143" spans="1:13" x14ac:dyDescent="0.3">
      <c r="A143" t="s">
        <v>154</v>
      </c>
      <c r="B143" s="2">
        <v>45433</v>
      </c>
      <c r="C143" t="s">
        <v>397</v>
      </c>
      <c r="D143" t="s">
        <v>481</v>
      </c>
      <c r="E143">
        <v>58</v>
      </c>
      <c r="F143" t="s">
        <v>484</v>
      </c>
      <c r="G143" t="s">
        <v>489</v>
      </c>
      <c r="H143" t="s">
        <v>495</v>
      </c>
      <c r="I143">
        <v>4</v>
      </c>
      <c r="J143">
        <v>3711</v>
      </c>
      <c r="K143">
        <v>5</v>
      </c>
      <c r="L143">
        <v>8</v>
      </c>
      <c r="M143">
        <v>14101.8</v>
      </c>
    </row>
    <row r="144" spans="1:13" x14ac:dyDescent="0.3">
      <c r="A144" t="s">
        <v>155</v>
      </c>
      <c r="B144" s="2">
        <v>45434</v>
      </c>
      <c r="C144" t="s">
        <v>376</v>
      </c>
      <c r="D144" t="s">
        <v>481</v>
      </c>
      <c r="E144">
        <v>24</v>
      </c>
      <c r="F144" t="s">
        <v>483</v>
      </c>
      <c r="G144" t="s">
        <v>491</v>
      </c>
      <c r="H144" t="s">
        <v>495</v>
      </c>
      <c r="I144">
        <v>3</v>
      </c>
      <c r="J144">
        <v>1188</v>
      </c>
      <c r="K144">
        <v>0</v>
      </c>
      <c r="L144">
        <v>6</v>
      </c>
      <c r="M144">
        <v>3564</v>
      </c>
    </row>
    <row r="145" spans="1:13" x14ac:dyDescent="0.3">
      <c r="A145" t="s">
        <v>156</v>
      </c>
      <c r="B145" s="2">
        <v>45435</v>
      </c>
      <c r="C145" t="s">
        <v>398</v>
      </c>
      <c r="D145" t="s">
        <v>481</v>
      </c>
      <c r="E145">
        <v>21</v>
      </c>
      <c r="F145" t="s">
        <v>484</v>
      </c>
      <c r="G145" t="s">
        <v>490</v>
      </c>
      <c r="H145" t="s">
        <v>492</v>
      </c>
      <c r="I145">
        <v>2</v>
      </c>
      <c r="J145">
        <v>4316</v>
      </c>
      <c r="L145">
        <v>3</v>
      </c>
      <c r="M145">
        <v>8632</v>
      </c>
    </row>
    <row r="146" spans="1:13" x14ac:dyDescent="0.3">
      <c r="A146" t="s">
        <v>157</v>
      </c>
      <c r="B146" s="2">
        <v>45436</v>
      </c>
      <c r="C146" t="s">
        <v>399</v>
      </c>
      <c r="D146" t="s">
        <v>482</v>
      </c>
      <c r="E146">
        <v>28</v>
      </c>
      <c r="F146" t="s">
        <v>483</v>
      </c>
      <c r="G146" t="s">
        <v>491</v>
      </c>
      <c r="H146" t="s">
        <v>492</v>
      </c>
      <c r="I146">
        <v>3</v>
      </c>
      <c r="J146">
        <v>4226</v>
      </c>
      <c r="K146">
        <v>10</v>
      </c>
      <c r="L146">
        <v>7</v>
      </c>
      <c r="M146">
        <v>11410.2</v>
      </c>
    </row>
    <row r="147" spans="1:13" x14ac:dyDescent="0.3">
      <c r="A147" t="s">
        <v>158</v>
      </c>
      <c r="B147" s="2">
        <v>45437</v>
      </c>
      <c r="C147" t="s">
        <v>400</v>
      </c>
      <c r="D147" t="s">
        <v>481</v>
      </c>
      <c r="E147">
        <v>46</v>
      </c>
      <c r="F147" t="s">
        <v>483</v>
      </c>
      <c r="G147" t="s">
        <v>489</v>
      </c>
      <c r="H147" t="s">
        <v>493</v>
      </c>
      <c r="I147">
        <v>2</v>
      </c>
      <c r="J147">
        <v>4379</v>
      </c>
      <c r="K147">
        <v>10</v>
      </c>
      <c r="L147">
        <v>4</v>
      </c>
      <c r="M147">
        <v>7882.2</v>
      </c>
    </row>
    <row r="148" spans="1:13" x14ac:dyDescent="0.3">
      <c r="A148" t="s">
        <v>159</v>
      </c>
      <c r="B148" s="2">
        <v>45438</v>
      </c>
      <c r="C148" t="s">
        <v>401</v>
      </c>
      <c r="D148" t="s">
        <v>482</v>
      </c>
      <c r="E148">
        <v>53</v>
      </c>
      <c r="F148" t="s">
        <v>483</v>
      </c>
      <c r="G148" t="s">
        <v>487</v>
      </c>
      <c r="H148" t="s">
        <v>494</v>
      </c>
      <c r="I148">
        <v>1</v>
      </c>
      <c r="J148">
        <v>1882</v>
      </c>
      <c r="K148">
        <v>0</v>
      </c>
      <c r="L148">
        <v>9</v>
      </c>
      <c r="M148">
        <v>1882</v>
      </c>
    </row>
    <row r="149" spans="1:13" x14ac:dyDescent="0.3">
      <c r="A149" t="s">
        <v>160</v>
      </c>
      <c r="B149" s="2">
        <v>45439</v>
      </c>
      <c r="C149" t="s">
        <v>402</v>
      </c>
      <c r="D149" t="s">
        <v>482</v>
      </c>
      <c r="E149">
        <v>42</v>
      </c>
      <c r="F149" t="s">
        <v>486</v>
      </c>
      <c r="G149" t="s">
        <v>490</v>
      </c>
      <c r="H149" t="s">
        <v>493</v>
      </c>
      <c r="I149">
        <v>3</v>
      </c>
      <c r="J149">
        <v>4865</v>
      </c>
      <c r="K149">
        <v>10</v>
      </c>
      <c r="L149">
        <v>5</v>
      </c>
      <c r="M149">
        <v>13135.5</v>
      </c>
    </row>
    <row r="150" spans="1:13" x14ac:dyDescent="0.3">
      <c r="A150" t="s">
        <v>161</v>
      </c>
      <c r="B150" s="2">
        <v>45440</v>
      </c>
      <c r="C150" t="s">
        <v>403</v>
      </c>
      <c r="D150" t="s">
        <v>481</v>
      </c>
      <c r="E150">
        <v>38</v>
      </c>
      <c r="F150" t="s">
        <v>486</v>
      </c>
      <c r="G150" t="s">
        <v>487</v>
      </c>
      <c r="H150" t="s">
        <v>494</v>
      </c>
      <c r="I150">
        <v>4</v>
      </c>
      <c r="J150">
        <v>4163</v>
      </c>
      <c r="K150">
        <v>0</v>
      </c>
      <c r="L150">
        <v>3</v>
      </c>
      <c r="M150">
        <v>16652</v>
      </c>
    </row>
    <row r="151" spans="1:13" x14ac:dyDescent="0.3">
      <c r="A151" t="s">
        <v>162</v>
      </c>
      <c r="B151" s="2">
        <v>45441</v>
      </c>
      <c r="C151" t="s">
        <v>404</v>
      </c>
      <c r="D151" t="s">
        <v>482</v>
      </c>
      <c r="E151">
        <v>53</v>
      </c>
      <c r="F151" t="s">
        <v>484</v>
      </c>
      <c r="G151" t="s">
        <v>487</v>
      </c>
      <c r="H151" t="s">
        <v>492</v>
      </c>
      <c r="I151">
        <v>4</v>
      </c>
      <c r="J151">
        <v>1133</v>
      </c>
      <c r="K151">
        <v>10</v>
      </c>
      <c r="L151">
        <v>2</v>
      </c>
      <c r="M151">
        <v>4078.8</v>
      </c>
    </row>
    <row r="152" spans="1:13" x14ac:dyDescent="0.3">
      <c r="A152" t="s">
        <v>163</v>
      </c>
      <c r="B152" s="2">
        <v>45442</v>
      </c>
      <c r="C152" t="s">
        <v>405</v>
      </c>
      <c r="D152" t="s">
        <v>481</v>
      </c>
      <c r="E152">
        <v>27</v>
      </c>
      <c r="F152" t="s">
        <v>483</v>
      </c>
      <c r="G152" t="s">
        <v>487</v>
      </c>
      <c r="H152" t="s">
        <v>492</v>
      </c>
      <c r="I152">
        <v>5</v>
      </c>
      <c r="J152">
        <v>3798</v>
      </c>
      <c r="K152">
        <v>0</v>
      </c>
      <c r="L152">
        <v>2</v>
      </c>
      <c r="M152">
        <v>18990</v>
      </c>
    </row>
    <row r="153" spans="1:13" x14ac:dyDescent="0.3">
      <c r="A153" t="s">
        <v>164</v>
      </c>
      <c r="B153" s="2">
        <v>45443</v>
      </c>
      <c r="C153" t="s">
        <v>406</v>
      </c>
      <c r="D153" t="s">
        <v>482</v>
      </c>
      <c r="E153">
        <v>54</v>
      </c>
      <c r="F153" t="s">
        <v>483</v>
      </c>
      <c r="G153" t="s">
        <v>488</v>
      </c>
      <c r="H153" t="s">
        <v>492</v>
      </c>
      <c r="I153">
        <v>2</v>
      </c>
      <c r="J153">
        <v>3433</v>
      </c>
      <c r="K153">
        <v>10</v>
      </c>
      <c r="L153">
        <v>3</v>
      </c>
      <c r="M153">
        <v>6179.4000000000005</v>
      </c>
    </row>
    <row r="154" spans="1:13" x14ac:dyDescent="0.3">
      <c r="A154" t="s">
        <v>165</v>
      </c>
      <c r="B154" s="2">
        <v>45444</v>
      </c>
      <c r="C154" t="s">
        <v>407</v>
      </c>
      <c r="D154" t="s">
        <v>481</v>
      </c>
      <c r="E154">
        <v>26</v>
      </c>
      <c r="F154" t="s">
        <v>486</v>
      </c>
      <c r="G154" t="s">
        <v>488</v>
      </c>
      <c r="H154" t="s">
        <v>493</v>
      </c>
      <c r="I154">
        <v>3</v>
      </c>
      <c r="J154">
        <v>2180</v>
      </c>
      <c r="L154">
        <v>2</v>
      </c>
      <c r="M154">
        <v>6540</v>
      </c>
    </row>
    <row r="155" spans="1:13" x14ac:dyDescent="0.3">
      <c r="A155" t="s">
        <v>166</v>
      </c>
      <c r="B155" s="2">
        <v>45445</v>
      </c>
      <c r="C155" t="s">
        <v>408</v>
      </c>
      <c r="D155" t="s">
        <v>482</v>
      </c>
      <c r="E155">
        <v>41</v>
      </c>
      <c r="F155" t="s">
        <v>483</v>
      </c>
      <c r="G155" t="s">
        <v>487</v>
      </c>
      <c r="H155" t="s">
        <v>495</v>
      </c>
      <c r="I155">
        <v>5</v>
      </c>
      <c r="J155">
        <v>2055</v>
      </c>
      <c r="K155">
        <v>0</v>
      </c>
      <c r="L155">
        <v>4</v>
      </c>
      <c r="M155">
        <v>10275</v>
      </c>
    </row>
    <row r="156" spans="1:13" x14ac:dyDescent="0.3">
      <c r="A156" t="s">
        <v>167</v>
      </c>
      <c r="B156" s="2">
        <v>45446</v>
      </c>
      <c r="C156" t="s">
        <v>409</v>
      </c>
      <c r="D156" t="s">
        <v>481</v>
      </c>
      <c r="E156">
        <v>52</v>
      </c>
      <c r="F156" t="s">
        <v>486</v>
      </c>
      <c r="G156" t="s">
        <v>490</v>
      </c>
      <c r="H156" t="s">
        <v>495</v>
      </c>
      <c r="I156">
        <v>3</v>
      </c>
      <c r="J156">
        <v>3256</v>
      </c>
      <c r="L156">
        <v>2</v>
      </c>
      <c r="M156">
        <v>9768</v>
      </c>
    </row>
    <row r="157" spans="1:13" x14ac:dyDescent="0.3">
      <c r="A157" t="s">
        <v>168</v>
      </c>
      <c r="B157" s="2">
        <v>45447</v>
      </c>
      <c r="C157" t="s">
        <v>410</v>
      </c>
      <c r="D157" t="s">
        <v>481</v>
      </c>
      <c r="E157">
        <v>52</v>
      </c>
      <c r="F157" t="s">
        <v>483</v>
      </c>
      <c r="G157" t="s">
        <v>489</v>
      </c>
      <c r="H157" t="s">
        <v>492</v>
      </c>
      <c r="I157">
        <v>2</v>
      </c>
      <c r="J157">
        <v>992</v>
      </c>
      <c r="K157">
        <v>5</v>
      </c>
      <c r="L157">
        <v>9</v>
      </c>
      <c r="M157">
        <v>1884.8</v>
      </c>
    </row>
    <row r="158" spans="1:13" x14ac:dyDescent="0.3">
      <c r="A158" t="s">
        <v>169</v>
      </c>
      <c r="B158" s="2">
        <v>45448</v>
      </c>
      <c r="C158" t="s">
        <v>411</v>
      </c>
      <c r="D158" t="s">
        <v>481</v>
      </c>
      <c r="E158">
        <v>53</v>
      </c>
      <c r="F158" t="s">
        <v>484</v>
      </c>
      <c r="G158" t="s">
        <v>489</v>
      </c>
      <c r="H158" t="s">
        <v>495</v>
      </c>
      <c r="I158">
        <v>4</v>
      </c>
      <c r="J158">
        <v>991</v>
      </c>
      <c r="K158">
        <v>15</v>
      </c>
      <c r="L158">
        <v>2</v>
      </c>
      <c r="M158">
        <v>3369.4</v>
      </c>
    </row>
    <row r="159" spans="1:13" x14ac:dyDescent="0.3">
      <c r="A159" t="s">
        <v>170</v>
      </c>
      <c r="B159" s="2">
        <v>45449</v>
      </c>
      <c r="C159" t="s">
        <v>280</v>
      </c>
      <c r="D159" t="s">
        <v>481</v>
      </c>
      <c r="E159">
        <v>35</v>
      </c>
      <c r="F159" t="s">
        <v>483</v>
      </c>
      <c r="G159" t="s">
        <v>491</v>
      </c>
      <c r="H159" t="s">
        <v>495</v>
      </c>
      <c r="I159">
        <v>1</v>
      </c>
      <c r="J159">
        <v>2009</v>
      </c>
      <c r="K159">
        <v>10</v>
      </c>
      <c r="L159">
        <v>9</v>
      </c>
      <c r="M159">
        <v>1808.1</v>
      </c>
    </row>
    <row r="160" spans="1:13" x14ac:dyDescent="0.3">
      <c r="A160" t="s">
        <v>171</v>
      </c>
      <c r="B160" s="2">
        <v>45450</v>
      </c>
      <c r="C160" t="s">
        <v>412</v>
      </c>
      <c r="D160" t="s">
        <v>481</v>
      </c>
      <c r="E160">
        <v>56</v>
      </c>
      <c r="F160" t="s">
        <v>483</v>
      </c>
      <c r="G160" t="s">
        <v>490</v>
      </c>
      <c r="H160" t="s">
        <v>493</v>
      </c>
      <c r="I160">
        <v>4</v>
      </c>
      <c r="J160">
        <v>2455</v>
      </c>
      <c r="K160">
        <v>5</v>
      </c>
      <c r="L160">
        <v>6</v>
      </c>
      <c r="M160">
        <v>9329</v>
      </c>
    </row>
    <row r="161" spans="1:13" x14ac:dyDescent="0.3">
      <c r="A161" t="s">
        <v>172</v>
      </c>
      <c r="B161" s="2">
        <v>45451</v>
      </c>
      <c r="C161" t="s">
        <v>413</v>
      </c>
      <c r="D161" t="s">
        <v>482</v>
      </c>
      <c r="E161">
        <v>49</v>
      </c>
      <c r="F161" t="s">
        <v>485</v>
      </c>
      <c r="G161" t="s">
        <v>488</v>
      </c>
      <c r="H161" t="s">
        <v>494</v>
      </c>
      <c r="I161">
        <v>5</v>
      </c>
      <c r="J161">
        <v>3810</v>
      </c>
      <c r="K161">
        <v>10</v>
      </c>
      <c r="L161">
        <v>1</v>
      </c>
      <c r="M161">
        <v>17145</v>
      </c>
    </row>
    <row r="162" spans="1:13" x14ac:dyDescent="0.3">
      <c r="A162" t="s">
        <v>173</v>
      </c>
      <c r="B162" s="2">
        <v>45452</v>
      </c>
      <c r="C162" t="s">
        <v>414</v>
      </c>
      <c r="D162" t="s">
        <v>482</v>
      </c>
      <c r="E162">
        <v>41</v>
      </c>
      <c r="F162" t="s">
        <v>486</v>
      </c>
      <c r="G162" t="s">
        <v>487</v>
      </c>
      <c r="H162" t="s">
        <v>492</v>
      </c>
      <c r="I162">
        <v>1</v>
      </c>
      <c r="J162">
        <v>1807</v>
      </c>
      <c r="K162">
        <v>15</v>
      </c>
      <c r="L162">
        <v>4</v>
      </c>
      <c r="M162">
        <v>1535.95</v>
      </c>
    </row>
    <row r="163" spans="1:13" x14ac:dyDescent="0.3">
      <c r="A163" t="s">
        <v>174</v>
      </c>
      <c r="B163" s="2">
        <v>45453</v>
      </c>
      <c r="C163" t="s">
        <v>415</v>
      </c>
      <c r="D163" t="s">
        <v>482</v>
      </c>
      <c r="E163">
        <v>40</v>
      </c>
      <c r="F163" t="s">
        <v>483</v>
      </c>
      <c r="G163" t="s">
        <v>491</v>
      </c>
      <c r="H163" t="s">
        <v>492</v>
      </c>
      <c r="I163">
        <v>5</v>
      </c>
      <c r="J163">
        <v>1184</v>
      </c>
      <c r="K163">
        <v>5</v>
      </c>
      <c r="L163">
        <v>1</v>
      </c>
      <c r="M163">
        <v>5624</v>
      </c>
    </row>
    <row r="164" spans="1:13" x14ac:dyDescent="0.3">
      <c r="A164" t="s">
        <v>175</v>
      </c>
      <c r="B164" s="2">
        <v>45454</v>
      </c>
      <c r="C164" t="s">
        <v>359</v>
      </c>
      <c r="D164" t="s">
        <v>481</v>
      </c>
      <c r="E164">
        <v>49</v>
      </c>
      <c r="F164" t="s">
        <v>483</v>
      </c>
      <c r="G164" t="s">
        <v>489</v>
      </c>
      <c r="H164" t="s">
        <v>493</v>
      </c>
      <c r="I164">
        <v>2</v>
      </c>
      <c r="J164">
        <v>3876</v>
      </c>
      <c r="K164">
        <v>0</v>
      </c>
      <c r="L164">
        <v>6</v>
      </c>
      <c r="M164">
        <v>7752</v>
      </c>
    </row>
    <row r="165" spans="1:13" x14ac:dyDescent="0.3">
      <c r="A165" t="s">
        <v>176</v>
      </c>
      <c r="B165" s="2">
        <v>45455</v>
      </c>
      <c r="C165" t="s">
        <v>416</v>
      </c>
      <c r="D165" t="s">
        <v>482</v>
      </c>
      <c r="E165">
        <v>54</v>
      </c>
      <c r="F165" t="s">
        <v>485</v>
      </c>
      <c r="G165" t="s">
        <v>488</v>
      </c>
      <c r="H165" t="s">
        <v>493</v>
      </c>
      <c r="I165">
        <v>1</v>
      </c>
      <c r="J165">
        <v>3580</v>
      </c>
      <c r="K165">
        <v>10</v>
      </c>
      <c r="L165">
        <v>4</v>
      </c>
      <c r="M165">
        <v>3222</v>
      </c>
    </row>
    <row r="166" spans="1:13" x14ac:dyDescent="0.3">
      <c r="A166" t="s">
        <v>177</v>
      </c>
      <c r="B166" s="2">
        <v>45456</v>
      </c>
      <c r="C166" t="s">
        <v>417</v>
      </c>
      <c r="D166" t="s">
        <v>481</v>
      </c>
      <c r="E166">
        <v>29</v>
      </c>
      <c r="F166" t="s">
        <v>485</v>
      </c>
      <c r="G166" t="s">
        <v>488</v>
      </c>
      <c r="H166" t="s">
        <v>495</v>
      </c>
      <c r="I166">
        <v>5</v>
      </c>
      <c r="J166">
        <v>719</v>
      </c>
      <c r="K166">
        <v>15</v>
      </c>
      <c r="L166">
        <v>3</v>
      </c>
      <c r="M166">
        <v>3055.75</v>
      </c>
    </row>
    <row r="167" spans="1:13" x14ac:dyDescent="0.3">
      <c r="A167" t="s">
        <v>178</v>
      </c>
      <c r="B167" s="2">
        <v>45457</v>
      </c>
      <c r="C167" t="s">
        <v>418</v>
      </c>
      <c r="D167" t="s">
        <v>481</v>
      </c>
      <c r="E167">
        <v>30</v>
      </c>
      <c r="F167" t="s">
        <v>486</v>
      </c>
      <c r="G167" t="s">
        <v>487</v>
      </c>
      <c r="H167" t="s">
        <v>492</v>
      </c>
      <c r="I167">
        <v>2</v>
      </c>
      <c r="J167">
        <v>790</v>
      </c>
      <c r="K167">
        <v>10</v>
      </c>
      <c r="L167">
        <v>3</v>
      </c>
      <c r="M167">
        <v>1422</v>
      </c>
    </row>
    <row r="168" spans="1:13" x14ac:dyDescent="0.3">
      <c r="A168" t="s">
        <v>179</v>
      </c>
      <c r="B168" s="2">
        <v>45458</v>
      </c>
      <c r="C168" t="s">
        <v>419</v>
      </c>
      <c r="D168" t="s">
        <v>482</v>
      </c>
      <c r="E168">
        <v>40</v>
      </c>
      <c r="F168" t="s">
        <v>485</v>
      </c>
      <c r="G168" t="s">
        <v>489</v>
      </c>
      <c r="H168" t="s">
        <v>494</v>
      </c>
      <c r="I168">
        <v>4</v>
      </c>
      <c r="J168">
        <v>1250</v>
      </c>
      <c r="K168">
        <v>10</v>
      </c>
      <c r="L168">
        <v>9</v>
      </c>
      <c r="M168">
        <v>4500</v>
      </c>
    </row>
    <row r="169" spans="1:13" x14ac:dyDescent="0.3">
      <c r="A169" t="s">
        <v>180</v>
      </c>
      <c r="B169" s="2">
        <v>45459</v>
      </c>
      <c r="C169" t="s">
        <v>405</v>
      </c>
      <c r="D169" t="s">
        <v>482</v>
      </c>
      <c r="E169">
        <v>42</v>
      </c>
      <c r="F169" t="s">
        <v>484</v>
      </c>
      <c r="G169" t="s">
        <v>490</v>
      </c>
      <c r="H169" t="s">
        <v>493</v>
      </c>
      <c r="I169">
        <v>2</v>
      </c>
      <c r="J169">
        <v>3833</v>
      </c>
      <c r="K169">
        <v>5</v>
      </c>
      <c r="L169">
        <v>6</v>
      </c>
      <c r="M169">
        <v>7282.7</v>
      </c>
    </row>
    <row r="170" spans="1:13" x14ac:dyDescent="0.3">
      <c r="A170" t="s">
        <v>181</v>
      </c>
      <c r="B170" s="2">
        <v>45460</v>
      </c>
      <c r="C170" t="s">
        <v>420</v>
      </c>
      <c r="D170" t="s">
        <v>481</v>
      </c>
      <c r="E170">
        <v>52</v>
      </c>
      <c r="F170" t="s">
        <v>485</v>
      </c>
      <c r="G170" t="s">
        <v>488</v>
      </c>
      <c r="H170" t="s">
        <v>494</v>
      </c>
      <c r="I170">
        <v>3</v>
      </c>
      <c r="J170">
        <v>4644</v>
      </c>
      <c r="K170">
        <v>15</v>
      </c>
      <c r="L170">
        <v>9</v>
      </c>
      <c r="M170">
        <v>11842.2</v>
      </c>
    </row>
    <row r="171" spans="1:13" x14ac:dyDescent="0.3">
      <c r="A171" t="s">
        <v>182</v>
      </c>
      <c r="B171" s="2">
        <v>45461</v>
      </c>
      <c r="C171" t="s">
        <v>421</v>
      </c>
      <c r="D171" t="s">
        <v>482</v>
      </c>
      <c r="E171">
        <v>58</v>
      </c>
      <c r="F171" t="s">
        <v>484</v>
      </c>
      <c r="G171" t="s">
        <v>487</v>
      </c>
      <c r="H171" t="s">
        <v>494</v>
      </c>
      <c r="I171">
        <v>2</v>
      </c>
      <c r="J171">
        <v>1159</v>
      </c>
      <c r="K171">
        <v>0</v>
      </c>
      <c r="L171">
        <v>5</v>
      </c>
      <c r="M171">
        <v>2318</v>
      </c>
    </row>
    <row r="172" spans="1:13" x14ac:dyDescent="0.3">
      <c r="A172" t="s">
        <v>183</v>
      </c>
      <c r="B172" s="2">
        <v>45462</v>
      </c>
      <c r="C172" t="s">
        <v>422</v>
      </c>
      <c r="D172" t="s">
        <v>481</v>
      </c>
      <c r="E172">
        <v>47</v>
      </c>
      <c r="F172" t="s">
        <v>486</v>
      </c>
      <c r="G172" t="s">
        <v>490</v>
      </c>
      <c r="H172" t="s">
        <v>492</v>
      </c>
      <c r="I172">
        <v>2</v>
      </c>
      <c r="J172">
        <v>892</v>
      </c>
      <c r="K172">
        <v>5</v>
      </c>
      <c r="L172">
        <v>2</v>
      </c>
      <c r="M172">
        <v>1694.8</v>
      </c>
    </row>
    <row r="173" spans="1:13" x14ac:dyDescent="0.3">
      <c r="A173" t="s">
        <v>184</v>
      </c>
      <c r="B173" s="2">
        <v>45463</v>
      </c>
      <c r="C173" t="s">
        <v>423</v>
      </c>
      <c r="D173" t="s">
        <v>481</v>
      </c>
      <c r="E173">
        <v>34</v>
      </c>
      <c r="F173" t="s">
        <v>486</v>
      </c>
      <c r="G173" t="s">
        <v>489</v>
      </c>
      <c r="H173" t="s">
        <v>492</v>
      </c>
      <c r="I173">
        <v>3</v>
      </c>
      <c r="J173">
        <v>4099</v>
      </c>
      <c r="K173">
        <v>0</v>
      </c>
      <c r="L173">
        <v>8</v>
      </c>
      <c r="M173">
        <v>12297</v>
      </c>
    </row>
    <row r="174" spans="1:13" x14ac:dyDescent="0.3">
      <c r="A174" t="s">
        <v>185</v>
      </c>
      <c r="B174" s="2">
        <v>45464</v>
      </c>
      <c r="C174" t="s">
        <v>424</v>
      </c>
      <c r="D174" t="s">
        <v>481</v>
      </c>
      <c r="E174">
        <v>37</v>
      </c>
      <c r="F174" t="s">
        <v>486</v>
      </c>
      <c r="G174" t="s">
        <v>488</v>
      </c>
      <c r="H174" t="s">
        <v>493</v>
      </c>
      <c r="I174">
        <v>5</v>
      </c>
      <c r="J174">
        <v>4673</v>
      </c>
      <c r="K174">
        <v>0</v>
      </c>
      <c r="L174">
        <v>5</v>
      </c>
      <c r="M174">
        <v>23365</v>
      </c>
    </row>
    <row r="175" spans="1:13" x14ac:dyDescent="0.3">
      <c r="A175" t="s">
        <v>186</v>
      </c>
      <c r="B175" s="2">
        <v>45465</v>
      </c>
      <c r="C175" t="s">
        <v>425</v>
      </c>
      <c r="D175" t="s">
        <v>481</v>
      </c>
      <c r="E175">
        <v>42</v>
      </c>
      <c r="F175" t="s">
        <v>486</v>
      </c>
      <c r="G175" t="s">
        <v>490</v>
      </c>
      <c r="H175" t="s">
        <v>492</v>
      </c>
      <c r="I175">
        <v>5</v>
      </c>
      <c r="J175">
        <v>3146</v>
      </c>
      <c r="K175">
        <v>0</v>
      </c>
      <c r="L175">
        <v>2</v>
      </c>
      <c r="M175">
        <v>15730</v>
      </c>
    </row>
    <row r="176" spans="1:13" x14ac:dyDescent="0.3">
      <c r="A176" t="s">
        <v>187</v>
      </c>
      <c r="B176" s="2">
        <v>45466</v>
      </c>
      <c r="C176" t="s">
        <v>378</v>
      </c>
      <c r="D176" t="s">
        <v>481</v>
      </c>
      <c r="E176">
        <v>39</v>
      </c>
      <c r="F176" t="s">
        <v>486</v>
      </c>
      <c r="G176" t="s">
        <v>490</v>
      </c>
      <c r="H176" t="s">
        <v>492</v>
      </c>
      <c r="I176">
        <v>2</v>
      </c>
      <c r="J176">
        <v>726</v>
      </c>
      <c r="K176">
        <v>0</v>
      </c>
      <c r="L176">
        <v>4</v>
      </c>
      <c r="M176">
        <v>1452</v>
      </c>
    </row>
    <row r="177" spans="1:13" x14ac:dyDescent="0.3">
      <c r="A177" t="s">
        <v>188</v>
      </c>
      <c r="B177" s="2">
        <v>45467</v>
      </c>
      <c r="C177" t="s">
        <v>426</v>
      </c>
      <c r="D177" t="s">
        <v>482</v>
      </c>
      <c r="E177">
        <v>30</v>
      </c>
      <c r="F177" t="s">
        <v>484</v>
      </c>
      <c r="G177" t="s">
        <v>490</v>
      </c>
      <c r="H177" t="s">
        <v>492</v>
      </c>
      <c r="I177">
        <v>3</v>
      </c>
      <c r="J177">
        <v>3424</v>
      </c>
      <c r="K177">
        <v>10</v>
      </c>
      <c r="L177">
        <v>9</v>
      </c>
      <c r="M177">
        <v>9244.8000000000011</v>
      </c>
    </row>
    <row r="178" spans="1:13" x14ac:dyDescent="0.3">
      <c r="A178" t="s">
        <v>189</v>
      </c>
      <c r="B178" s="2">
        <v>45468</v>
      </c>
      <c r="C178" t="s">
        <v>427</v>
      </c>
      <c r="D178" t="s">
        <v>482</v>
      </c>
      <c r="E178">
        <v>36</v>
      </c>
      <c r="F178" t="s">
        <v>484</v>
      </c>
      <c r="G178" t="s">
        <v>488</v>
      </c>
      <c r="H178" t="s">
        <v>494</v>
      </c>
      <c r="I178">
        <v>3</v>
      </c>
      <c r="J178">
        <v>2453</v>
      </c>
      <c r="K178">
        <v>0</v>
      </c>
      <c r="L178">
        <v>4</v>
      </c>
      <c r="M178">
        <v>7359</v>
      </c>
    </row>
    <row r="179" spans="1:13" x14ac:dyDescent="0.3">
      <c r="A179" t="s">
        <v>190</v>
      </c>
      <c r="B179" s="2">
        <v>45469</v>
      </c>
      <c r="C179" t="s">
        <v>428</v>
      </c>
      <c r="D179" t="s">
        <v>481</v>
      </c>
      <c r="E179">
        <v>53</v>
      </c>
      <c r="F179" t="s">
        <v>486</v>
      </c>
      <c r="G179" t="s">
        <v>488</v>
      </c>
      <c r="H179" t="s">
        <v>493</v>
      </c>
      <c r="I179">
        <v>4</v>
      </c>
      <c r="J179">
        <v>3544</v>
      </c>
      <c r="K179">
        <v>5</v>
      </c>
      <c r="L179">
        <v>4</v>
      </c>
      <c r="M179">
        <v>13467.2</v>
      </c>
    </row>
    <row r="180" spans="1:13" x14ac:dyDescent="0.3">
      <c r="A180" t="s">
        <v>191</v>
      </c>
      <c r="B180" s="2">
        <v>45470</v>
      </c>
      <c r="C180" t="s">
        <v>429</v>
      </c>
      <c r="D180" t="s">
        <v>481</v>
      </c>
      <c r="E180">
        <v>29</v>
      </c>
      <c r="F180" t="s">
        <v>485</v>
      </c>
      <c r="G180" t="s">
        <v>491</v>
      </c>
      <c r="H180" t="s">
        <v>495</v>
      </c>
      <c r="I180">
        <v>5</v>
      </c>
      <c r="J180">
        <v>4165</v>
      </c>
      <c r="K180">
        <v>0</v>
      </c>
      <c r="L180">
        <v>2</v>
      </c>
      <c r="M180">
        <v>20825</v>
      </c>
    </row>
    <row r="181" spans="1:13" x14ac:dyDescent="0.3">
      <c r="A181" t="s">
        <v>192</v>
      </c>
      <c r="B181" s="2">
        <v>45471</v>
      </c>
      <c r="C181" t="s">
        <v>430</v>
      </c>
      <c r="D181" t="s">
        <v>482</v>
      </c>
      <c r="E181">
        <v>58</v>
      </c>
      <c r="F181" t="s">
        <v>483</v>
      </c>
      <c r="G181" t="s">
        <v>489</v>
      </c>
      <c r="H181" t="s">
        <v>494</v>
      </c>
      <c r="I181">
        <v>1</v>
      </c>
      <c r="J181">
        <v>2075</v>
      </c>
      <c r="K181">
        <v>0</v>
      </c>
      <c r="L181">
        <v>6</v>
      </c>
      <c r="M181">
        <v>2075</v>
      </c>
    </row>
    <row r="182" spans="1:13" x14ac:dyDescent="0.3">
      <c r="A182" t="s">
        <v>193</v>
      </c>
      <c r="B182" s="2">
        <v>45472</v>
      </c>
      <c r="C182" t="s">
        <v>431</v>
      </c>
      <c r="D182" t="s">
        <v>482</v>
      </c>
      <c r="E182">
        <v>36</v>
      </c>
      <c r="F182" t="s">
        <v>486</v>
      </c>
      <c r="G182" t="s">
        <v>487</v>
      </c>
      <c r="H182" t="s">
        <v>492</v>
      </c>
      <c r="I182">
        <v>5</v>
      </c>
      <c r="J182">
        <v>1963</v>
      </c>
      <c r="K182">
        <v>0</v>
      </c>
      <c r="L182">
        <v>2</v>
      </c>
      <c r="M182">
        <v>9815</v>
      </c>
    </row>
    <row r="183" spans="1:13" x14ac:dyDescent="0.3">
      <c r="A183" t="s">
        <v>194</v>
      </c>
      <c r="B183" s="2">
        <v>45473</v>
      </c>
      <c r="C183" t="s">
        <v>432</v>
      </c>
      <c r="D183" t="s">
        <v>481</v>
      </c>
      <c r="E183">
        <v>29</v>
      </c>
      <c r="F183" t="s">
        <v>485</v>
      </c>
      <c r="G183" t="s">
        <v>490</v>
      </c>
      <c r="H183" t="s">
        <v>494</v>
      </c>
      <c r="I183">
        <v>5</v>
      </c>
      <c r="J183">
        <v>720</v>
      </c>
      <c r="K183">
        <v>0</v>
      </c>
      <c r="L183">
        <v>7</v>
      </c>
      <c r="M183">
        <v>3600</v>
      </c>
    </row>
    <row r="184" spans="1:13" x14ac:dyDescent="0.3">
      <c r="A184" t="s">
        <v>195</v>
      </c>
      <c r="B184" s="2">
        <v>45474</v>
      </c>
      <c r="C184" t="s">
        <v>433</v>
      </c>
      <c r="D184" t="s">
        <v>482</v>
      </c>
      <c r="E184">
        <v>26</v>
      </c>
      <c r="F184" t="s">
        <v>483</v>
      </c>
      <c r="G184" t="s">
        <v>491</v>
      </c>
      <c r="H184" t="s">
        <v>492</v>
      </c>
      <c r="I184">
        <v>4</v>
      </c>
      <c r="J184">
        <v>1216</v>
      </c>
      <c r="K184">
        <v>10</v>
      </c>
      <c r="L184">
        <v>3</v>
      </c>
      <c r="M184">
        <v>4377.6000000000004</v>
      </c>
    </row>
    <row r="185" spans="1:13" x14ac:dyDescent="0.3">
      <c r="A185" t="s">
        <v>196</v>
      </c>
      <c r="B185" s="2">
        <v>45475</v>
      </c>
      <c r="C185" t="s">
        <v>434</v>
      </c>
      <c r="D185" t="s">
        <v>481</v>
      </c>
      <c r="E185">
        <v>24</v>
      </c>
      <c r="F185" t="s">
        <v>486</v>
      </c>
      <c r="G185" t="s">
        <v>487</v>
      </c>
      <c r="H185" t="s">
        <v>492</v>
      </c>
      <c r="I185">
        <v>1</v>
      </c>
      <c r="J185">
        <v>316</v>
      </c>
      <c r="K185">
        <v>10</v>
      </c>
      <c r="L185">
        <v>3</v>
      </c>
      <c r="M185">
        <v>284.39999999999998</v>
      </c>
    </row>
    <row r="186" spans="1:13" x14ac:dyDescent="0.3">
      <c r="A186" t="s">
        <v>197</v>
      </c>
      <c r="B186" s="2">
        <v>45476</v>
      </c>
      <c r="C186" t="s">
        <v>435</v>
      </c>
      <c r="D186" t="s">
        <v>482</v>
      </c>
      <c r="E186">
        <v>45</v>
      </c>
      <c r="F186" t="s">
        <v>486</v>
      </c>
      <c r="G186" t="s">
        <v>491</v>
      </c>
      <c r="H186" t="s">
        <v>494</v>
      </c>
      <c r="I186">
        <v>4</v>
      </c>
      <c r="J186">
        <v>2633</v>
      </c>
      <c r="K186">
        <v>10</v>
      </c>
      <c r="L186">
        <v>5</v>
      </c>
      <c r="M186">
        <v>9478.8000000000011</v>
      </c>
    </row>
    <row r="187" spans="1:13" x14ac:dyDescent="0.3">
      <c r="A187" t="s">
        <v>198</v>
      </c>
      <c r="B187" s="2">
        <v>45477</v>
      </c>
      <c r="C187" t="s">
        <v>436</v>
      </c>
      <c r="D187" t="s">
        <v>481</v>
      </c>
      <c r="E187">
        <v>31</v>
      </c>
      <c r="F187" t="s">
        <v>484</v>
      </c>
      <c r="G187" t="s">
        <v>488</v>
      </c>
      <c r="H187" t="s">
        <v>493</v>
      </c>
      <c r="I187">
        <v>1</v>
      </c>
      <c r="J187">
        <v>783</v>
      </c>
      <c r="K187">
        <v>5</v>
      </c>
      <c r="L187">
        <v>3</v>
      </c>
      <c r="M187">
        <v>743.84999999999991</v>
      </c>
    </row>
    <row r="188" spans="1:13" x14ac:dyDescent="0.3">
      <c r="A188" t="s">
        <v>199</v>
      </c>
      <c r="B188" s="2">
        <v>45478</v>
      </c>
      <c r="C188" t="s">
        <v>437</v>
      </c>
      <c r="D188" t="s">
        <v>482</v>
      </c>
      <c r="E188">
        <v>48</v>
      </c>
      <c r="F188" t="s">
        <v>483</v>
      </c>
      <c r="G188" t="s">
        <v>490</v>
      </c>
      <c r="H188" t="s">
        <v>492</v>
      </c>
      <c r="I188">
        <v>2</v>
      </c>
      <c r="J188">
        <v>594</v>
      </c>
      <c r="K188">
        <v>0</v>
      </c>
      <c r="L188">
        <v>2</v>
      </c>
      <c r="M188">
        <v>1188</v>
      </c>
    </row>
    <row r="189" spans="1:13" x14ac:dyDescent="0.3">
      <c r="A189" t="s">
        <v>200</v>
      </c>
      <c r="B189" s="2">
        <v>45479</v>
      </c>
      <c r="C189" t="s">
        <v>316</v>
      </c>
      <c r="D189" t="s">
        <v>481</v>
      </c>
      <c r="E189">
        <v>36</v>
      </c>
      <c r="F189" t="s">
        <v>483</v>
      </c>
      <c r="G189" t="s">
        <v>487</v>
      </c>
      <c r="H189" t="s">
        <v>493</v>
      </c>
      <c r="I189">
        <v>1</v>
      </c>
      <c r="J189">
        <v>3988</v>
      </c>
      <c r="K189">
        <v>15</v>
      </c>
      <c r="L189">
        <v>9</v>
      </c>
      <c r="M189">
        <v>3389.8</v>
      </c>
    </row>
    <row r="190" spans="1:13" x14ac:dyDescent="0.3">
      <c r="A190" t="s">
        <v>201</v>
      </c>
      <c r="B190" s="2">
        <v>45480</v>
      </c>
      <c r="C190" t="s">
        <v>406</v>
      </c>
      <c r="D190" t="s">
        <v>482</v>
      </c>
      <c r="E190">
        <v>33</v>
      </c>
      <c r="F190" t="s">
        <v>485</v>
      </c>
      <c r="G190" t="s">
        <v>487</v>
      </c>
      <c r="H190" t="s">
        <v>495</v>
      </c>
      <c r="I190">
        <v>4</v>
      </c>
      <c r="J190">
        <v>2968</v>
      </c>
      <c r="K190">
        <v>5</v>
      </c>
      <c r="L190">
        <v>2</v>
      </c>
      <c r="M190">
        <v>11278.4</v>
      </c>
    </row>
    <row r="191" spans="1:13" x14ac:dyDescent="0.3">
      <c r="A191" t="s">
        <v>202</v>
      </c>
      <c r="B191" s="2">
        <v>45481</v>
      </c>
      <c r="C191" t="s">
        <v>397</v>
      </c>
      <c r="D191" t="s">
        <v>482</v>
      </c>
      <c r="E191">
        <v>22</v>
      </c>
      <c r="F191" t="s">
        <v>484</v>
      </c>
      <c r="G191" t="s">
        <v>487</v>
      </c>
      <c r="H191" t="s">
        <v>492</v>
      </c>
      <c r="I191">
        <v>5</v>
      </c>
      <c r="J191">
        <v>4367</v>
      </c>
      <c r="K191">
        <v>5</v>
      </c>
      <c r="L191">
        <v>2</v>
      </c>
      <c r="M191">
        <v>20743.25</v>
      </c>
    </row>
    <row r="192" spans="1:13" x14ac:dyDescent="0.3">
      <c r="A192" t="s">
        <v>203</v>
      </c>
      <c r="B192" s="2">
        <v>45482</v>
      </c>
      <c r="C192" t="s">
        <v>366</v>
      </c>
      <c r="D192" t="s">
        <v>481</v>
      </c>
      <c r="E192">
        <v>52</v>
      </c>
      <c r="F192" t="s">
        <v>484</v>
      </c>
      <c r="G192" t="s">
        <v>487</v>
      </c>
      <c r="H192" t="s">
        <v>493</v>
      </c>
      <c r="I192">
        <v>1</v>
      </c>
      <c r="J192">
        <v>4060</v>
      </c>
      <c r="K192">
        <v>0</v>
      </c>
      <c r="L192">
        <v>8</v>
      </c>
      <c r="M192">
        <v>4060</v>
      </c>
    </row>
    <row r="193" spans="1:13" x14ac:dyDescent="0.3">
      <c r="A193" t="s">
        <v>204</v>
      </c>
      <c r="B193" s="2">
        <v>45483</v>
      </c>
      <c r="C193" t="s">
        <v>438</v>
      </c>
      <c r="D193" t="s">
        <v>482</v>
      </c>
      <c r="E193">
        <v>29</v>
      </c>
      <c r="F193" t="s">
        <v>484</v>
      </c>
      <c r="G193" t="s">
        <v>487</v>
      </c>
      <c r="H193" t="s">
        <v>493</v>
      </c>
      <c r="I193">
        <v>1</v>
      </c>
      <c r="J193">
        <v>473</v>
      </c>
      <c r="K193">
        <v>0</v>
      </c>
      <c r="L193">
        <v>9</v>
      </c>
      <c r="M193">
        <v>473</v>
      </c>
    </row>
    <row r="194" spans="1:13" x14ac:dyDescent="0.3">
      <c r="A194" t="s">
        <v>205</v>
      </c>
      <c r="B194" s="2">
        <v>45484</v>
      </c>
      <c r="C194" t="s">
        <v>439</v>
      </c>
      <c r="D194" t="s">
        <v>481</v>
      </c>
      <c r="E194">
        <v>42</v>
      </c>
      <c r="F194" t="s">
        <v>484</v>
      </c>
      <c r="G194" t="s">
        <v>491</v>
      </c>
      <c r="H194" t="s">
        <v>495</v>
      </c>
      <c r="I194">
        <v>3</v>
      </c>
      <c r="J194">
        <v>2213</v>
      </c>
      <c r="K194">
        <v>0</v>
      </c>
      <c r="L194">
        <v>7</v>
      </c>
      <c r="M194">
        <v>6639</v>
      </c>
    </row>
    <row r="195" spans="1:13" x14ac:dyDescent="0.3">
      <c r="A195" t="s">
        <v>206</v>
      </c>
      <c r="B195" s="2">
        <v>45485</v>
      </c>
      <c r="C195" t="s">
        <v>440</v>
      </c>
      <c r="D195" t="s">
        <v>482</v>
      </c>
      <c r="E195">
        <v>38</v>
      </c>
      <c r="F195" t="s">
        <v>483</v>
      </c>
      <c r="G195" t="s">
        <v>490</v>
      </c>
      <c r="H195" t="s">
        <v>493</v>
      </c>
      <c r="I195">
        <v>5</v>
      </c>
      <c r="J195">
        <v>4633</v>
      </c>
      <c r="K195">
        <v>0</v>
      </c>
      <c r="L195">
        <v>3</v>
      </c>
      <c r="M195">
        <v>23165</v>
      </c>
    </row>
    <row r="196" spans="1:13" x14ac:dyDescent="0.3">
      <c r="A196" t="s">
        <v>207</v>
      </c>
      <c r="B196" s="2">
        <v>45486</v>
      </c>
      <c r="C196" t="s">
        <v>441</v>
      </c>
      <c r="D196" t="s">
        <v>481</v>
      </c>
      <c r="E196">
        <v>53</v>
      </c>
      <c r="F196" t="s">
        <v>483</v>
      </c>
      <c r="G196" t="s">
        <v>488</v>
      </c>
      <c r="H196" t="s">
        <v>493</v>
      </c>
      <c r="I196">
        <v>2</v>
      </c>
      <c r="J196">
        <v>1589</v>
      </c>
      <c r="K196">
        <v>5</v>
      </c>
      <c r="L196">
        <v>9</v>
      </c>
      <c r="M196">
        <v>3019.1</v>
      </c>
    </row>
    <row r="197" spans="1:13" x14ac:dyDescent="0.3">
      <c r="A197" t="s">
        <v>208</v>
      </c>
      <c r="B197" s="2">
        <v>45487</v>
      </c>
      <c r="C197" t="s">
        <v>442</v>
      </c>
      <c r="D197" t="s">
        <v>482</v>
      </c>
      <c r="E197">
        <v>40</v>
      </c>
      <c r="F197" t="s">
        <v>486</v>
      </c>
      <c r="G197" t="s">
        <v>488</v>
      </c>
      <c r="H197" t="s">
        <v>495</v>
      </c>
      <c r="I197">
        <v>4</v>
      </c>
      <c r="J197">
        <v>3766</v>
      </c>
      <c r="K197">
        <v>5</v>
      </c>
      <c r="L197">
        <v>3</v>
      </c>
      <c r="M197">
        <v>14310.8</v>
      </c>
    </row>
    <row r="198" spans="1:13" x14ac:dyDescent="0.3">
      <c r="A198" t="s">
        <v>209</v>
      </c>
      <c r="B198" s="2">
        <v>45488</v>
      </c>
      <c r="C198" t="s">
        <v>443</v>
      </c>
      <c r="D198" t="s">
        <v>481</v>
      </c>
      <c r="E198">
        <v>33</v>
      </c>
      <c r="F198" t="s">
        <v>486</v>
      </c>
      <c r="G198" t="s">
        <v>488</v>
      </c>
      <c r="H198" t="s">
        <v>492</v>
      </c>
      <c r="I198">
        <v>2</v>
      </c>
      <c r="J198">
        <v>4902</v>
      </c>
      <c r="K198">
        <v>10</v>
      </c>
      <c r="L198">
        <v>5</v>
      </c>
      <c r="M198">
        <v>8823.6</v>
      </c>
    </row>
    <row r="199" spans="1:13" x14ac:dyDescent="0.3">
      <c r="A199" t="s">
        <v>210</v>
      </c>
      <c r="B199" s="2">
        <v>45489</v>
      </c>
      <c r="C199" t="s">
        <v>381</v>
      </c>
      <c r="D199" t="s">
        <v>482</v>
      </c>
      <c r="E199">
        <v>56</v>
      </c>
      <c r="F199" t="s">
        <v>484</v>
      </c>
      <c r="G199" t="s">
        <v>488</v>
      </c>
      <c r="H199" t="s">
        <v>493</v>
      </c>
      <c r="I199">
        <v>5</v>
      </c>
      <c r="J199">
        <v>365</v>
      </c>
      <c r="K199">
        <v>10</v>
      </c>
      <c r="L199">
        <v>9</v>
      </c>
      <c r="M199">
        <v>1642.5</v>
      </c>
    </row>
    <row r="200" spans="1:13" x14ac:dyDescent="0.3">
      <c r="A200" t="s">
        <v>211</v>
      </c>
      <c r="B200" s="2">
        <v>45490</v>
      </c>
      <c r="C200" t="s">
        <v>444</v>
      </c>
      <c r="D200" t="s">
        <v>481</v>
      </c>
      <c r="E200">
        <v>59</v>
      </c>
      <c r="F200" t="s">
        <v>484</v>
      </c>
      <c r="G200" t="s">
        <v>491</v>
      </c>
      <c r="H200" t="s">
        <v>493</v>
      </c>
      <c r="I200">
        <v>1</v>
      </c>
      <c r="J200">
        <v>1767</v>
      </c>
      <c r="K200">
        <v>15</v>
      </c>
      <c r="L200">
        <v>3</v>
      </c>
      <c r="M200">
        <v>1501.95</v>
      </c>
    </row>
    <row r="201" spans="1:13" x14ac:dyDescent="0.3">
      <c r="A201" t="s">
        <v>212</v>
      </c>
      <c r="B201" s="2">
        <v>45491</v>
      </c>
      <c r="C201" t="s">
        <v>445</v>
      </c>
      <c r="D201" t="s">
        <v>482</v>
      </c>
      <c r="E201">
        <v>56</v>
      </c>
      <c r="F201" t="s">
        <v>484</v>
      </c>
      <c r="G201" t="s">
        <v>489</v>
      </c>
      <c r="H201" t="s">
        <v>493</v>
      </c>
      <c r="I201">
        <v>1</v>
      </c>
      <c r="J201">
        <v>928</v>
      </c>
      <c r="K201">
        <v>10</v>
      </c>
      <c r="L201">
        <v>7</v>
      </c>
      <c r="M201">
        <v>835.2</v>
      </c>
    </row>
    <row r="202" spans="1:13" x14ac:dyDescent="0.3">
      <c r="A202" t="s">
        <v>213</v>
      </c>
      <c r="B202" s="2">
        <v>45492</v>
      </c>
      <c r="C202" t="s">
        <v>446</v>
      </c>
      <c r="D202" t="s">
        <v>481</v>
      </c>
      <c r="E202">
        <v>31</v>
      </c>
      <c r="F202" t="s">
        <v>486</v>
      </c>
      <c r="G202" t="s">
        <v>490</v>
      </c>
      <c r="H202" t="s">
        <v>494</v>
      </c>
      <c r="I202">
        <v>5</v>
      </c>
      <c r="J202">
        <v>2243</v>
      </c>
      <c r="L202">
        <v>1</v>
      </c>
      <c r="M202">
        <v>11215</v>
      </c>
    </row>
    <row r="203" spans="1:13" x14ac:dyDescent="0.3">
      <c r="A203" t="s">
        <v>214</v>
      </c>
      <c r="B203" s="2">
        <v>45493</v>
      </c>
      <c r="C203" t="s">
        <v>447</v>
      </c>
      <c r="D203" t="s">
        <v>481</v>
      </c>
      <c r="E203">
        <v>48</v>
      </c>
      <c r="F203" t="s">
        <v>485</v>
      </c>
      <c r="G203" t="s">
        <v>487</v>
      </c>
      <c r="H203" t="s">
        <v>495</v>
      </c>
      <c r="I203">
        <v>1</v>
      </c>
      <c r="J203">
        <v>4397</v>
      </c>
      <c r="K203">
        <v>0</v>
      </c>
      <c r="L203">
        <v>4</v>
      </c>
      <c r="M203">
        <v>4397</v>
      </c>
    </row>
    <row r="204" spans="1:13" x14ac:dyDescent="0.3">
      <c r="A204" t="s">
        <v>215</v>
      </c>
      <c r="B204" s="2">
        <v>45494</v>
      </c>
      <c r="C204" t="s">
        <v>448</v>
      </c>
      <c r="D204" t="s">
        <v>481</v>
      </c>
      <c r="E204">
        <v>22</v>
      </c>
      <c r="F204" t="s">
        <v>485</v>
      </c>
      <c r="G204" t="s">
        <v>489</v>
      </c>
      <c r="H204" t="s">
        <v>494</v>
      </c>
      <c r="I204">
        <v>1</v>
      </c>
      <c r="J204">
        <v>3696</v>
      </c>
      <c r="K204">
        <v>0</v>
      </c>
      <c r="L204">
        <v>4</v>
      </c>
      <c r="M204">
        <v>3696</v>
      </c>
    </row>
    <row r="205" spans="1:13" x14ac:dyDescent="0.3">
      <c r="A205" t="s">
        <v>216</v>
      </c>
      <c r="B205" s="2">
        <v>45495</v>
      </c>
      <c r="C205" t="s">
        <v>304</v>
      </c>
      <c r="D205" t="s">
        <v>482</v>
      </c>
      <c r="E205">
        <v>52</v>
      </c>
      <c r="F205" t="s">
        <v>486</v>
      </c>
      <c r="G205" t="s">
        <v>488</v>
      </c>
      <c r="H205" t="s">
        <v>495</v>
      </c>
      <c r="I205">
        <v>1</v>
      </c>
      <c r="J205">
        <v>978</v>
      </c>
      <c r="K205">
        <v>0</v>
      </c>
      <c r="L205">
        <v>7</v>
      </c>
      <c r="M205">
        <v>978</v>
      </c>
    </row>
    <row r="206" spans="1:13" x14ac:dyDescent="0.3">
      <c r="A206" t="s">
        <v>217</v>
      </c>
      <c r="B206" s="2">
        <v>45496</v>
      </c>
      <c r="C206" t="s">
        <v>449</v>
      </c>
      <c r="D206" t="s">
        <v>481</v>
      </c>
      <c r="E206">
        <v>40</v>
      </c>
      <c r="F206" t="s">
        <v>486</v>
      </c>
      <c r="G206" t="s">
        <v>489</v>
      </c>
      <c r="H206" t="s">
        <v>492</v>
      </c>
      <c r="I206">
        <v>4</v>
      </c>
      <c r="J206">
        <v>413</v>
      </c>
      <c r="K206">
        <v>10</v>
      </c>
      <c r="L206">
        <v>8</v>
      </c>
      <c r="M206">
        <v>1486.8</v>
      </c>
    </row>
    <row r="207" spans="1:13" x14ac:dyDescent="0.3">
      <c r="A207" t="s">
        <v>218</v>
      </c>
      <c r="B207" s="2">
        <v>45497</v>
      </c>
      <c r="C207" t="s">
        <v>407</v>
      </c>
      <c r="D207" t="s">
        <v>482</v>
      </c>
      <c r="E207">
        <v>46</v>
      </c>
      <c r="F207" t="s">
        <v>486</v>
      </c>
      <c r="G207" t="s">
        <v>490</v>
      </c>
      <c r="H207" t="s">
        <v>492</v>
      </c>
      <c r="I207">
        <v>4</v>
      </c>
      <c r="J207">
        <v>3962</v>
      </c>
      <c r="K207">
        <v>15</v>
      </c>
      <c r="L207">
        <v>1</v>
      </c>
      <c r="M207">
        <v>13470.8</v>
      </c>
    </row>
    <row r="208" spans="1:13" x14ac:dyDescent="0.3">
      <c r="A208" t="s">
        <v>219</v>
      </c>
      <c r="B208" s="2">
        <v>45498</v>
      </c>
      <c r="C208" t="s">
        <v>450</v>
      </c>
      <c r="D208" t="s">
        <v>481</v>
      </c>
      <c r="E208">
        <v>28</v>
      </c>
      <c r="F208" t="s">
        <v>486</v>
      </c>
      <c r="G208" t="s">
        <v>487</v>
      </c>
      <c r="H208" t="s">
        <v>493</v>
      </c>
      <c r="I208">
        <v>3</v>
      </c>
      <c r="J208">
        <v>1776</v>
      </c>
      <c r="K208">
        <v>0</v>
      </c>
      <c r="L208">
        <v>5</v>
      </c>
      <c r="M208">
        <v>5328</v>
      </c>
    </row>
    <row r="209" spans="1:13" x14ac:dyDescent="0.3">
      <c r="A209" t="s">
        <v>220</v>
      </c>
      <c r="B209" s="2">
        <v>45499</v>
      </c>
      <c r="C209" t="s">
        <v>447</v>
      </c>
      <c r="D209" t="s">
        <v>482</v>
      </c>
      <c r="E209">
        <v>35</v>
      </c>
      <c r="F209" t="s">
        <v>486</v>
      </c>
      <c r="G209" t="s">
        <v>487</v>
      </c>
      <c r="H209" t="s">
        <v>495</v>
      </c>
      <c r="I209">
        <v>2</v>
      </c>
      <c r="J209">
        <v>2648</v>
      </c>
      <c r="L209">
        <v>7</v>
      </c>
      <c r="M209">
        <v>5296</v>
      </c>
    </row>
    <row r="210" spans="1:13" x14ac:dyDescent="0.3">
      <c r="A210" t="s">
        <v>221</v>
      </c>
      <c r="B210" s="2">
        <v>45500</v>
      </c>
      <c r="C210" t="s">
        <v>398</v>
      </c>
      <c r="D210" t="s">
        <v>481</v>
      </c>
      <c r="E210">
        <v>29</v>
      </c>
      <c r="F210" t="s">
        <v>486</v>
      </c>
      <c r="G210" t="s">
        <v>490</v>
      </c>
      <c r="H210" t="s">
        <v>492</v>
      </c>
      <c r="I210">
        <v>5</v>
      </c>
      <c r="J210">
        <v>3136</v>
      </c>
      <c r="K210">
        <v>0</v>
      </c>
      <c r="L210">
        <v>4</v>
      </c>
      <c r="M210">
        <v>15680</v>
      </c>
    </row>
    <row r="211" spans="1:13" x14ac:dyDescent="0.3">
      <c r="A211" t="s">
        <v>222</v>
      </c>
      <c r="B211" s="2">
        <v>45501</v>
      </c>
      <c r="C211" t="s">
        <v>451</v>
      </c>
      <c r="D211" t="s">
        <v>482</v>
      </c>
      <c r="E211">
        <v>26</v>
      </c>
      <c r="F211" t="s">
        <v>484</v>
      </c>
      <c r="G211" t="s">
        <v>490</v>
      </c>
      <c r="H211" t="s">
        <v>495</v>
      </c>
      <c r="I211">
        <v>5</v>
      </c>
      <c r="J211">
        <v>3317</v>
      </c>
      <c r="L211">
        <v>4</v>
      </c>
      <c r="M211">
        <v>16585</v>
      </c>
    </row>
    <row r="212" spans="1:13" x14ac:dyDescent="0.3">
      <c r="A212" t="s">
        <v>223</v>
      </c>
      <c r="B212" s="2">
        <v>45502</v>
      </c>
      <c r="C212" t="s">
        <v>352</v>
      </c>
      <c r="D212" t="s">
        <v>482</v>
      </c>
      <c r="E212">
        <v>27</v>
      </c>
      <c r="F212" t="s">
        <v>484</v>
      </c>
      <c r="G212" t="s">
        <v>488</v>
      </c>
      <c r="H212" t="s">
        <v>492</v>
      </c>
      <c r="I212">
        <v>5</v>
      </c>
      <c r="J212">
        <v>791</v>
      </c>
      <c r="K212">
        <v>0</v>
      </c>
      <c r="L212">
        <v>4</v>
      </c>
      <c r="M212">
        <v>3955</v>
      </c>
    </row>
    <row r="213" spans="1:13" x14ac:dyDescent="0.3">
      <c r="A213" t="s">
        <v>224</v>
      </c>
      <c r="B213" s="2">
        <v>45503</v>
      </c>
      <c r="C213" t="s">
        <v>331</v>
      </c>
      <c r="D213" t="s">
        <v>481</v>
      </c>
      <c r="E213">
        <v>34</v>
      </c>
      <c r="F213" t="s">
        <v>484</v>
      </c>
      <c r="G213" t="s">
        <v>487</v>
      </c>
      <c r="H213" t="s">
        <v>494</v>
      </c>
      <c r="I213">
        <v>3</v>
      </c>
      <c r="J213">
        <v>2920</v>
      </c>
      <c r="K213">
        <v>0</v>
      </c>
      <c r="L213">
        <v>6</v>
      </c>
      <c r="M213">
        <v>8760</v>
      </c>
    </row>
    <row r="214" spans="1:13" x14ac:dyDescent="0.3">
      <c r="A214" t="s">
        <v>225</v>
      </c>
      <c r="B214" s="2">
        <v>45504</v>
      </c>
      <c r="C214" t="s">
        <v>452</v>
      </c>
      <c r="D214" t="s">
        <v>482</v>
      </c>
      <c r="E214">
        <v>55</v>
      </c>
      <c r="F214" t="s">
        <v>484</v>
      </c>
      <c r="G214" t="s">
        <v>489</v>
      </c>
      <c r="H214" t="s">
        <v>492</v>
      </c>
      <c r="I214">
        <v>4</v>
      </c>
      <c r="J214">
        <v>913</v>
      </c>
      <c r="K214">
        <v>5</v>
      </c>
      <c r="L214">
        <v>7</v>
      </c>
      <c r="M214">
        <v>3469.4</v>
      </c>
    </row>
    <row r="215" spans="1:13" x14ac:dyDescent="0.3">
      <c r="A215" t="s">
        <v>226</v>
      </c>
      <c r="B215" s="2">
        <v>45505</v>
      </c>
      <c r="C215" t="s">
        <v>275</v>
      </c>
      <c r="D215" t="s">
        <v>482</v>
      </c>
      <c r="E215">
        <v>24</v>
      </c>
      <c r="F215" t="s">
        <v>486</v>
      </c>
      <c r="G215" t="s">
        <v>491</v>
      </c>
      <c r="H215" t="s">
        <v>494</v>
      </c>
      <c r="I215">
        <v>3</v>
      </c>
      <c r="J215">
        <v>1135</v>
      </c>
      <c r="K215">
        <v>0</v>
      </c>
      <c r="L215">
        <v>2</v>
      </c>
      <c r="M215">
        <v>3405</v>
      </c>
    </row>
    <row r="216" spans="1:13" x14ac:dyDescent="0.3">
      <c r="A216" t="s">
        <v>227</v>
      </c>
      <c r="B216" s="2">
        <v>45506</v>
      </c>
      <c r="C216" t="s">
        <v>453</v>
      </c>
      <c r="D216" t="s">
        <v>481</v>
      </c>
      <c r="E216">
        <v>30</v>
      </c>
      <c r="F216" t="s">
        <v>485</v>
      </c>
      <c r="G216" t="s">
        <v>491</v>
      </c>
      <c r="H216" t="s">
        <v>492</v>
      </c>
      <c r="I216">
        <v>5</v>
      </c>
      <c r="J216">
        <v>4537</v>
      </c>
      <c r="K216">
        <v>0</v>
      </c>
      <c r="L216">
        <v>5</v>
      </c>
      <c r="M216">
        <v>22685</v>
      </c>
    </row>
    <row r="217" spans="1:13" x14ac:dyDescent="0.3">
      <c r="A217" t="s">
        <v>228</v>
      </c>
      <c r="B217" s="2">
        <v>45507</v>
      </c>
      <c r="C217" t="s">
        <v>454</v>
      </c>
      <c r="D217" t="s">
        <v>482</v>
      </c>
      <c r="E217">
        <v>57</v>
      </c>
      <c r="F217" t="s">
        <v>483</v>
      </c>
      <c r="G217" t="s">
        <v>490</v>
      </c>
      <c r="H217" t="s">
        <v>493</v>
      </c>
      <c r="I217">
        <v>2</v>
      </c>
      <c r="J217">
        <v>201</v>
      </c>
      <c r="K217">
        <v>0</v>
      </c>
      <c r="L217">
        <v>4</v>
      </c>
      <c r="M217">
        <v>402</v>
      </c>
    </row>
    <row r="218" spans="1:13" x14ac:dyDescent="0.3">
      <c r="A218" t="s">
        <v>229</v>
      </c>
      <c r="B218" s="2">
        <v>45508</v>
      </c>
      <c r="C218" t="s">
        <v>455</v>
      </c>
      <c r="D218" t="s">
        <v>482</v>
      </c>
      <c r="E218">
        <v>59</v>
      </c>
      <c r="F218" t="s">
        <v>486</v>
      </c>
      <c r="G218" t="s">
        <v>488</v>
      </c>
      <c r="H218" t="s">
        <v>494</v>
      </c>
      <c r="I218">
        <v>1</v>
      </c>
      <c r="J218">
        <v>3048</v>
      </c>
      <c r="K218">
        <v>15</v>
      </c>
      <c r="L218">
        <v>3</v>
      </c>
      <c r="M218">
        <v>2590.8000000000002</v>
      </c>
    </row>
    <row r="219" spans="1:13" x14ac:dyDescent="0.3">
      <c r="A219" t="s">
        <v>230</v>
      </c>
      <c r="B219" s="2">
        <v>45509</v>
      </c>
      <c r="C219" t="s">
        <v>456</v>
      </c>
      <c r="D219" t="s">
        <v>482</v>
      </c>
      <c r="E219">
        <v>26</v>
      </c>
      <c r="F219" t="s">
        <v>483</v>
      </c>
      <c r="G219" t="s">
        <v>491</v>
      </c>
      <c r="H219" t="s">
        <v>492</v>
      </c>
      <c r="I219">
        <v>4</v>
      </c>
      <c r="J219">
        <v>4244</v>
      </c>
      <c r="K219">
        <v>5</v>
      </c>
      <c r="L219">
        <v>7</v>
      </c>
      <c r="M219">
        <v>16127.2</v>
      </c>
    </row>
    <row r="220" spans="1:13" x14ac:dyDescent="0.3">
      <c r="A220" t="s">
        <v>231</v>
      </c>
      <c r="B220" s="2">
        <v>45510</v>
      </c>
      <c r="C220" t="s">
        <v>397</v>
      </c>
      <c r="D220" t="s">
        <v>481</v>
      </c>
      <c r="E220">
        <v>44</v>
      </c>
      <c r="F220" t="s">
        <v>485</v>
      </c>
      <c r="G220" t="s">
        <v>487</v>
      </c>
      <c r="H220" t="s">
        <v>493</v>
      </c>
      <c r="I220">
        <v>4</v>
      </c>
      <c r="J220">
        <v>2149</v>
      </c>
      <c r="K220">
        <v>0</v>
      </c>
      <c r="L220">
        <v>6</v>
      </c>
      <c r="M220">
        <v>8596</v>
      </c>
    </row>
    <row r="221" spans="1:13" x14ac:dyDescent="0.3">
      <c r="A221" t="s">
        <v>232</v>
      </c>
      <c r="B221" s="2">
        <v>45511</v>
      </c>
      <c r="C221" t="s">
        <v>308</v>
      </c>
      <c r="D221" t="s">
        <v>482</v>
      </c>
      <c r="E221">
        <v>19</v>
      </c>
      <c r="F221" t="s">
        <v>484</v>
      </c>
      <c r="G221" t="s">
        <v>490</v>
      </c>
      <c r="H221" t="s">
        <v>494</v>
      </c>
      <c r="I221">
        <v>3</v>
      </c>
      <c r="J221">
        <v>1117</v>
      </c>
      <c r="K221">
        <v>10</v>
      </c>
      <c r="L221">
        <v>7</v>
      </c>
      <c r="M221">
        <v>3015.9</v>
      </c>
    </row>
    <row r="222" spans="1:13" x14ac:dyDescent="0.3">
      <c r="A222" t="s">
        <v>233</v>
      </c>
      <c r="B222" s="2">
        <v>45512</v>
      </c>
      <c r="C222" t="s">
        <v>457</v>
      </c>
      <c r="D222" t="s">
        <v>481</v>
      </c>
      <c r="E222">
        <v>22</v>
      </c>
      <c r="F222" t="s">
        <v>485</v>
      </c>
      <c r="G222" t="s">
        <v>489</v>
      </c>
      <c r="H222" t="s">
        <v>493</v>
      </c>
      <c r="I222">
        <v>4</v>
      </c>
      <c r="J222">
        <v>3374</v>
      </c>
      <c r="K222">
        <v>10</v>
      </c>
      <c r="L222">
        <v>5</v>
      </c>
      <c r="M222">
        <v>12146.4</v>
      </c>
    </row>
    <row r="223" spans="1:13" x14ac:dyDescent="0.3">
      <c r="A223" t="s">
        <v>234</v>
      </c>
      <c r="B223" s="2">
        <v>45513</v>
      </c>
      <c r="C223" t="s">
        <v>458</v>
      </c>
      <c r="D223" t="s">
        <v>482</v>
      </c>
      <c r="E223">
        <v>46</v>
      </c>
      <c r="F223" t="s">
        <v>486</v>
      </c>
      <c r="G223" t="s">
        <v>490</v>
      </c>
      <c r="H223" t="s">
        <v>495</v>
      </c>
      <c r="I223">
        <v>5</v>
      </c>
      <c r="J223">
        <v>2441</v>
      </c>
      <c r="K223">
        <v>0</v>
      </c>
      <c r="L223">
        <v>6</v>
      </c>
      <c r="M223">
        <v>12205</v>
      </c>
    </row>
    <row r="224" spans="1:13" x14ac:dyDescent="0.3">
      <c r="A224" t="s">
        <v>235</v>
      </c>
      <c r="B224" s="2">
        <v>45514</v>
      </c>
      <c r="C224" t="s">
        <v>459</v>
      </c>
      <c r="D224" t="s">
        <v>482</v>
      </c>
      <c r="E224">
        <v>54</v>
      </c>
      <c r="F224" t="s">
        <v>484</v>
      </c>
      <c r="G224" t="s">
        <v>489</v>
      </c>
      <c r="H224" t="s">
        <v>495</v>
      </c>
      <c r="I224">
        <v>5</v>
      </c>
      <c r="J224">
        <v>289</v>
      </c>
      <c r="K224">
        <v>5</v>
      </c>
      <c r="L224">
        <v>5</v>
      </c>
      <c r="M224">
        <v>1372.75</v>
      </c>
    </row>
    <row r="225" spans="1:13" x14ac:dyDescent="0.3">
      <c r="A225" t="s">
        <v>236</v>
      </c>
      <c r="B225" s="2">
        <v>45515</v>
      </c>
      <c r="C225" t="s">
        <v>460</v>
      </c>
      <c r="D225" t="s">
        <v>482</v>
      </c>
      <c r="E225">
        <v>55</v>
      </c>
      <c r="F225" t="s">
        <v>486</v>
      </c>
      <c r="G225" t="s">
        <v>490</v>
      </c>
      <c r="H225" t="s">
        <v>494</v>
      </c>
      <c r="I225">
        <v>3</v>
      </c>
      <c r="J225">
        <v>1909</v>
      </c>
      <c r="K225">
        <v>0</v>
      </c>
      <c r="L225">
        <v>7</v>
      </c>
      <c r="M225">
        <v>5727</v>
      </c>
    </row>
    <row r="226" spans="1:13" x14ac:dyDescent="0.3">
      <c r="A226" t="s">
        <v>237</v>
      </c>
      <c r="B226" s="2">
        <v>45516</v>
      </c>
      <c r="C226" t="s">
        <v>461</v>
      </c>
      <c r="D226" t="s">
        <v>481</v>
      </c>
      <c r="E226">
        <v>36</v>
      </c>
      <c r="F226" t="s">
        <v>484</v>
      </c>
      <c r="G226" t="s">
        <v>490</v>
      </c>
      <c r="H226" t="s">
        <v>492</v>
      </c>
      <c r="I226">
        <v>5</v>
      </c>
      <c r="J226">
        <v>2369</v>
      </c>
      <c r="K226">
        <v>0</v>
      </c>
      <c r="L226">
        <v>2</v>
      </c>
      <c r="M226">
        <v>11845</v>
      </c>
    </row>
    <row r="227" spans="1:13" x14ac:dyDescent="0.3">
      <c r="A227" t="s">
        <v>238</v>
      </c>
      <c r="B227" s="2">
        <v>45517</v>
      </c>
      <c r="C227" t="s">
        <v>462</v>
      </c>
      <c r="D227" t="s">
        <v>482</v>
      </c>
      <c r="E227">
        <v>25</v>
      </c>
      <c r="F227" t="s">
        <v>483</v>
      </c>
      <c r="G227" t="s">
        <v>490</v>
      </c>
      <c r="H227" t="s">
        <v>494</v>
      </c>
      <c r="I227">
        <v>2</v>
      </c>
      <c r="J227">
        <v>4438</v>
      </c>
      <c r="K227">
        <v>10</v>
      </c>
      <c r="L227">
        <v>5</v>
      </c>
      <c r="M227">
        <v>7988.4000000000005</v>
      </c>
    </row>
    <row r="228" spans="1:13" x14ac:dyDescent="0.3">
      <c r="A228" t="s">
        <v>239</v>
      </c>
      <c r="B228" s="2">
        <v>45518</v>
      </c>
      <c r="C228" t="s">
        <v>463</v>
      </c>
      <c r="D228" t="s">
        <v>482</v>
      </c>
      <c r="E228">
        <v>18</v>
      </c>
      <c r="F228" t="s">
        <v>483</v>
      </c>
      <c r="G228" t="s">
        <v>489</v>
      </c>
      <c r="H228" t="s">
        <v>493</v>
      </c>
      <c r="I228">
        <v>3</v>
      </c>
      <c r="J228">
        <v>3241</v>
      </c>
      <c r="K228">
        <v>0</v>
      </c>
      <c r="L228">
        <v>6</v>
      </c>
      <c r="M228">
        <v>9723</v>
      </c>
    </row>
    <row r="229" spans="1:13" x14ac:dyDescent="0.3">
      <c r="A229" t="s">
        <v>240</v>
      </c>
      <c r="B229" s="2">
        <v>45519</v>
      </c>
      <c r="C229" t="s">
        <v>464</v>
      </c>
      <c r="D229" t="s">
        <v>481</v>
      </c>
      <c r="E229">
        <v>39</v>
      </c>
      <c r="F229" t="s">
        <v>483</v>
      </c>
      <c r="G229" t="s">
        <v>489</v>
      </c>
      <c r="H229" t="s">
        <v>492</v>
      </c>
      <c r="I229">
        <v>2</v>
      </c>
      <c r="J229">
        <v>305</v>
      </c>
      <c r="K229">
        <v>5</v>
      </c>
      <c r="L229">
        <v>6</v>
      </c>
      <c r="M229">
        <v>579.5</v>
      </c>
    </row>
    <row r="230" spans="1:13" x14ac:dyDescent="0.3">
      <c r="A230" t="s">
        <v>241</v>
      </c>
      <c r="B230" s="2">
        <v>45520</v>
      </c>
      <c r="C230" t="s">
        <v>465</v>
      </c>
      <c r="D230" t="s">
        <v>482</v>
      </c>
      <c r="E230">
        <v>34</v>
      </c>
      <c r="F230" t="s">
        <v>485</v>
      </c>
      <c r="G230" t="s">
        <v>490</v>
      </c>
      <c r="H230" t="s">
        <v>495</v>
      </c>
      <c r="I230">
        <v>1</v>
      </c>
      <c r="J230">
        <v>1086</v>
      </c>
      <c r="K230">
        <v>10</v>
      </c>
      <c r="L230">
        <v>5</v>
      </c>
      <c r="M230">
        <v>977.4</v>
      </c>
    </row>
    <row r="231" spans="1:13" x14ac:dyDescent="0.3">
      <c r="A231" t="s">
        <v>242</v>
      </c>
      <c r="B231" s="2">
        <v>45521</v>
      </c>
      <c r="C231" t="s">
        <v>466</v>
      </c>
      <c r="D231" t="s">
        <v>481</v>
      </c>
      <c r="E231">
        <v>24</v>
      </c>
      <c r="F231" t="s">
        <v>486</v>
      </c>
      <c r="G231" t="s">
        <v>491</v>
      </c>
      <c r="H231" t="s">
        <v>492</v>
      </c>
      <c r="I231">
        <v>2</v>
      </c>
      <c r="J231">
        <v>627</v>
      </c>
      <c r="K231">
        <v>0</v>
      </c>
      <c r="L231">
        <v>7</v>
      </c>
      <c r="M231">
        <v>1254</v>
      </c>
    </row>
    <row r="232" spans="1:13" x14ac:dyDescent="0.3">
      <c r="A232" t="s">
        <v>243</v>
      </c>
      <c r="B232" s="2">
        <v>45522</v>
      </c>
      <c r="C232" t="s">
        <v>358</v>
      </c>
      <c r="D232" t="s">
        <v>481</v>
      </c>
      <c r="E232">
        <v>42</v>
      </c>
      <c r="F232" t="s">
        <v>485</v>
      </c>
      <c r="G232" t="s">
        <v>488</v>
      </c>
      <c r="H232" t="s">
        <v>495</v>
      </c>
      <c r="I232">
        <v>1</v>
      </c>
      <c r="J232">
        <v>2095</v>
      </c>
      <c r="K232">
        <v>5</v>
      </c>
      <c r="L232">
        <v>8</v>
      </c>
      <c r="M232">
        <v>1990.25</v>
      </c>
    </row>
    <row r="233" spans="1:13" x14ac:dyDescent="0.3">
      <c r="A233" t="s">
        <v>244</v>
      </c>
      <c r="B233" s="2">
        <v>45523</v>
      </c>
      <c r="C233" t="s">
        <v>467</v>
      </c>
      <c r="D233" t="s">
        <v>482</v>
      </c>
      <c r="E233">
        <v>21</v>
      </c>
      <c r="F233" t="s">
        <v>483</v>
      </c>
      <c r="G233" t="s">
        <v>488</v>
      </c>
      <c r="H233" t="s">
        <v>492</v>
      </c>
      <c r="I233">
        <v>1</v>
      </c>
      <c r="J233">
        <v>516</v>
      </c>
      <c r="K233">
        <v>0</v>
      </c>
      <c r="L233">
        <v>7</v>
      </c>
      <c r="M233">
        <v>516</v>
      </c>
    </row>
    <row r="234" spans="1:13" x14ac:dyDescent="0.3">
      <c r="A234" t="s">
        <v>245</v>
      </c>
      <c r="B234" s="2">
        <v>45524</v>
      </c>
      <c r="C234" t="s">
        <v>468</v>
      </c>
      <c r="D234" t="s">
        <v>481</v>
      </c>
      <c r="E234">
        <v>53</v>
      </c>
      <c r="F234" t="s">
        <v>486</v>
      </c>
      <c r="G234" t="s">
        <v>488</v>
      </c>
      <c r="H234" t="s">
        <v>492</v>
      </c>
      <c r="I234">
        <v>2</v>
      </c>
      <c r="J234">
        <v>834</v>
      </c>
      <c r="L234">
        <v>5</v>
      </c>
      <c r="M234">
        <v>1668</v>
      </c>
    </row>
    <row r="235" spans="1:13" x14ac:dyDescent="0.3">
      <c r="A235" t="s">
        <v>246</v>
      </c>
      <c r="B235" s="2">
        <v>45525</v>
      </c>
      <c r="C235" t="s">
        <v>469</v>
      </c>
      <c r="D235" t="s">
        <v>482</v>
      </c>
      <c r="E235">
        <v>23</v>
      </c>
      <c r="F235" t="s">
        <v>483</v>
      </c>
      <c r="G235" t="s">
        <v>489</v>
      </c>
      <c r="H235" t="s">
        <v>492</v>
      </c>
      <c r="I235">
        <v>3</v>
      </c>
      <c r="J235">
        <v>2125</v>
      </c>
      <c r="K235">
        <v>5</v>
      </c>
      <c r="L235">
        <v>1</v>
      </c>
      <c r="M235">
        <v>6056.25</v>
      </c>
    </row>
    <row r="236" spans="1:13" x14ac:dyDescent="0.3">
      <c r="A236" t="s">
        <v>247</v>
      </c>
      <c r="B236" s="2">
        <v>45526</v>
      </c>
      <c r="C236" t="s">
        <v>470</v>
      </c>
      <c r="D236" t="s">
        <v>481</v>
      </c>
      <c r="E236">
        <v>48</v>
      </c>
      <c r="F236" t="s">
        <v>485</v>
      </c>
      <c r="G236" t="s">
        <v>489</v>
      </c>
      <c r="H236" t="s">
        <v>493</v>
      </c>
      <c r="I236">
        <v>5</v>
      </c>
      <c r="J236">
        <v>2256</v>
      </c>
      <c r="K236">
        <v>15</v>
      </c>
      <c r="L236">
        <v>5</v>
      </c>
      <c r="M236">
        <v>9588</v>
      </c>
    </row>
    <row r="237" spans="1:13" x14ac:dyDescent="0.3">
      <c r="A237" t="s">
        <v>248</v>
      </c>
      <c r="B237" s="2">
        <v>45527</v>
      </c>
      <c r="C237" t="s">
        <v>457</v>
      </c>
      <c r="D237" t="s">
        <v>481</v>
      </c>
      <c r="E237">
        <v>36</v>
      </c>
      <c r="F237" t="s">
        <v>485</v>
      </c>
      <c r="G237" t="s">
        <v>491</v>
      </c>
      <c r="H237" t="s">
        <v>493</v>
      </c>
      <c r="I237">
        <v>5</v>
      </c>
      <c r="J237">
        <v>3344</v>
      </c>
      <c r="K237">
        <v>5</v>
      </c>
      <c r="L237">
        <v>2</v>
      </c>
      <c r="M237">
        <v>15884</v>
      </c>
    </row>
    <row r="238" spans="1:13" x14ac:dyDescent="0.3">
      <c r="A238" t="s">
        <v>249</v>
      </c>
      <c r="B238" s="2">
        <v>45528</v>
      </c>
      <c r="C238" t="s">
        <v>317</v>
      </c>
      <c r="D238" t="s">
        <v>482</v>
      </c>
      <c r="E238">
        <v>56</v>
      </c>
      <c r="F238" t="s">
        <v>485</v>
      </c>
      <c r="G238" t="s">
        <v>488</v>
      </c>
      <c r="H238" t="s">
        <v>494</v>
      </c>
      <c r="I238">
        <v>1</v>
      </c>
      <c r="J238">
        <v>2470</v>
      </c>
      <c r="K238">
        <v>0</v>
      </c>
      <c r="L238">
        <v>5</v>
      </c>
      <c r="M238">
        <v>2470</v>
      </c>
    </row>
    <row r="239" spans="1:13" x14ac:dyDescent="0.3">
      <c r="A239" t="s">
        <v>250</v>
      </c>
      <c r="B239" s="2">
        <v>45529</v>
      </c>
      <c r="C239" t="s">
        <v>471</v>
      </c>
      <c r="D239" t="s">
        <v>481</v>
      </c>
      <c r="E239">
        <v>44</v>
      </c>
      <c r="F239" t="s">
        <v>483</v>
      </c>
      <c r="G239" t="s">
        <v>488</v>
      </c>
      <c r="H239" t="s">
        <v>494</v>
      </c>
      <c r="I239">
        <v>1</v>
      </c>
      <c r="J239">
        <v>1639</v>
      </c>
      <c r="K239">
        <v>10</v>
      </c>
      <c r="L239">
        <v>5</v>
      </c>
      <c r="M239">
        <v>1475.1</v>
      </c>
    </row>
    <row r="240" spans="1:13" x14ac:dyDescent="0.3">
      <c r="A240" t="s">
        <v>251</v>
      </c>
      <c r="B240" s="2">
        <v>45530</v>
      </c>
      <c r="C240" t="s">
        <v>411</v>
      </c>
      <c r="D240" t="s">
        <v>481</v>
      </c>
      <c r="E240">
        <v>27</v>
      </c>
      <c r="F240" t="s">
        <v>486</v>
      </c>
      <c r="G240" t="s">
        <v>490</v>
      </c>
      <c r="H240" t="s">
        <v>495</v>
      </c>
      <c r="I240">
        <v>3</v>
      </c>
      <c r="J240">
        <v>752</v>
      </c>
      <c r="L240">
        <v>2</v>
      </c>
      <c r="M240">
        <v>2256</v>
      </c>
    </row>
    <row r="241" spans="1:13" x14ac:dyDescent="0.3">
      <c r="A241" t="s">
        <v>252</v>
      </c>
      <c r="B241" s="2">
        <v>45531</v>
      </c>
      <c r="C241" t="s">
        <v>281</v>
      </c>
      <c r="D241" t="s">
        <v>481</v>
      </c>
      <c r="E241">
        <v>43</v>
      </c>
      <c r="F241" t="s">
        <v>486</v>
      </c>
      <c r="G241" t="s">
        <v>489</v>
      </c>
      <c r="H241" t="s">
        <v>493</v>
      </c>
      <c r="I241">
        <v>4</v>
      </c>
      <c r="J241">
        <v>915</v>
      </c>
      <c r="K241">
        <v>10</v>
      </c>
      <c r="L241">
        <v>5</v>
      </c>
      <c r="M241">
        <v>3294</v>
      </c>
    </row>
    <row r="242" spans="1:13" x14ac:dyDescent="0.3">
      <c r="A242" t="s">
        <v>253</v>
      </c>
      <c r="B242" s="2">
        <v>45532</v>
      </c>
      <c r="C242" t="s">
        <v>472</v>
      </c>
      <c r="D242" t="s">
        <v>481</v>
      </c>
      <c r="E242">
        <v>36</v>
      </c>
      <c r="F242" t="s">
        <v>483</v>
      </c>
      <c r="G242" t="s">
        <v>488</v>
      </c>
      <c r="H242" t="s">
        <v>495</v>
      </c>
      <c r="I242">
        <v>2</v>
      </c>
      <c r="J242">
        <v>4111</v>
      </c>
      <c r="K242">
        <v>15</v>
      </c>
      <c r="L242">
        <v>4</v>
      </c>
      <c r="M242">
        <v>6988.7</v>
      </c>
    </row>
    <row r="243" spans="1:13" x14ac:dyDescent="0.3">
      <c r="A243" t="s">
        <v>254</v>
      </c>
      <c r="B243" s="2">
        <v>45533</v>
      </c>
      <c r="C243" t="s">
        <v>473</v>
      </c>
      <c r="D243" t="s">
        <v>481</v>
      </c>
      <c r="E243">
        <v>56</v>
      </c>
      <c r="F243" t="s">
        <v>486</v>
      </c>
      <c r="G243" t="s">
        <v>491</v>
      </c>
      <c r="H243" t="s">
        <v>494</v>
      </c>
      <c r="I243">
        <v>1</v>
      </c>
      <c r="J243">
        <v>1913</v>
      </c>
      <c r="K243">
        <v>15</v>
      </c>
      <c r="L243">
        <v>1</v>
      </c>
      <c r="M243">
        <v>1626.05</v>
      </c>
    </row>
    <row r="244" spans="1:13" x14ac:dyDescent="0.3">
      <c r="A244" t="s">
        <v>255</v>
      </c>
      <c r="B244" s="2">
        <v>45534</v>
      </c>
      <c r="C244" t="s">
        <v>474</v>
      </c>
      <c r="D244" t="s">
        <v>482</v>
      </c>
      <c r="E244">
        <v>20</v>
      </c>
      <c r="F244" t="s">
        <v>483</v>
      </c>
      <c r="G244" t="s">
        <v>491</v>
      </c>
      <c r="H244" t="s">
        <v>495</v>
      </c>
      <c r="I244">
        <v>5</v>
      </c>
      <c r="J244">
        <v>3589</v>
      </c>
      <c r="K244">
        <v>0</v>
      </c>
      <c r="L244">
        <v>3</v>
      </c>
      <c r="M244">
        <v>17945</v>
      </c>
    </row>
    <row r="245" spans="1:13" x14ac:dyDescent="0.3">
      <c r="A245" t="s">
        <v>256</v>
      </c>
      <c r="B245" s="2">
        <v>45535</v>
      </c>
      <c r="C245" t="s">
        <v>475</v>
      </c>
      <c r="D245" t="s">
        <v>481</v>
      </c>
      <c r="E245">
        <v>30</v>
      </c>
      <c r="F245" t="s">
        <v>486</v>
      </c>
      <c r="G245" t="s">
        <v>488</v>
      </c>
      <c r="H245" t="s">
        <v>494</v>
      </c>
      <c r="I245">
        <v>3</v>
      </c>
      <c r="J245">
        <v>1307</v>
      </c>
      <c r="K245">
        <v>0</v>
      </c>
      <c r="L245">
        <v>1</v>
      </c>
      <c r="M245">
        <v>3921</v>
      </c>
    </row>
    <row r="246" spans="1:13" x14ac:dyDescent="0.3">
      <c r="A246" t="s">
        <v>257</v>
      </c>
      <c r="B246" s="2">
        <v>45536</v>
      </c>
      <c r="C246" t="s">
        <v>385</v>
      </c>
      <c r="D246" t="s">
        <v>482</v>
      </c>
      <c r="E246">
        <v>45</v>
      </c>
      <c r="F246" t="s">
        <v>484</v>
      </c>
      <c r="G246" t="s">
        <v>489</v>
      </c>
      <c r="H246" t="s">
        <v>493</v>
      </c>
      <c r="I246">
        <v>2</v>
      </c>
      <c r="J246">
        <v>4406</v>
      </c>
      <c r="K246">
        <v>10</v>
      </c>
      <c r="L246">
        <v>5</v>
      </c>
      <c r="M246">
        <v>7930.8</v>
      </c>
    </row>
    <row r="247" spans="1:13" x14ac:dyDescent="0.3">
      <c r="A247" t="s">
        <v>258</v>
      </c>
      <c r="B247" s="2">
        <v>45537</v>
      </c>
      <c r="C247" t="s">
        <v>476</v>
      </c>
      <c r="D247" t="s">
        <v>481</v>
      </c>
      <c r="E247">
        <v>37</v>
      </c>
      <c r="F247" t="s">
        <v>484</v>
      </c>
      <c r="G247" t="s">
        <v>491</v>
      </c>
      <c r="H247" t="s">
        <v>492</v>
      </c>
      <c r="I247">
        <v>3</v>
      </c>
      <c r="J247">
        <v>450</v>
      </c>
      <c r="K247">
        <v>5</v>
      </c>
      <c r="L247">
        <v>4</v>
      </c>
      <c r="M247">
        <v>1282.5</v>
      </c>
    </row>
    <row r="248" spans="1:13" x14ac:dyDescent="0.3">
      <c r="A248" t="s">
        <v>259</v>
      </c>
      <c r="B248" s="2">
        <v>45538</v>
      </c>
      <c r="C248" t="s">
        <v>477</v>
      </c>
      <c r="D248" t="s">
        <v>482</v>
      </c>
      <c r="E248">
        <v>45</v>
      </c>
      <c r="F248" t="s">
        <v>485</v>
      </c>
      <c r="G248" t="s">
        <v>490</v>
      </c>
      <c r="H248" t="s">
        <v>493</v>
      </c>
      <c r="I248">
        <v>2</v>
      </c>
      <c r="J248">
        <v>2630</v>
      </c>
      <c r="K248">
        <v>15</v>
      </c>
      <c r="L248">
        <v>7</v>
      </c>
      <c r="M248">
        <v>4471</v>
      </c>
    </row>
    <row r="249" spans="1:13" x14ac:dyDescent="0.3">
      <c r="A249" t="s">
        <v>260</v>
      </c>
      <c r="B249" s="2">
        <v>45539</v>
      </c>
      <c r="C249" t="s">
        <v>478</v>
      </c>
      <c r="D249" t="s">
        <v>482</v>
      </c>
      <c r="E249">
        <v>25</v>
      </c>
      <c r="F249" t="s">
        <v>484</v>
      </c>
      <c r="G249" t="s">
        <v>491</v>
      </c>
      <c r="H249" t="s">
        <v>495</v>
      </c>
      <c r="I249">
        <v>2</v>
      </c>
      <c r="J249">
        <v>2254</v>
      </c>
      <c r="L249">
        <v>5</v>
      </c>
      <c r="M249">
        <v>4508</v>
      </c>
    </row>
    <row r="250" spans="1:13" x14ac:dyDescent="0.3">
      <c r="A250" t="s">
        <v>261</v>
      </c>
      <c r="B250" s="2">
        <v>45540</v>
      </c>
      <c r="C250" t="s">
        <v>479</v>
      </c>
      <c r="D250" t="s">
        <v>481</v>
      </c>
      <c r="E250">
        <v>58</v>
      </c>
      <c r="F250" t="s">
        <v>484</v>
      </c>
      <c r="G250" t="s">
        <v>487</v>
      </c>
      <c r="H250" t="s">
        <v>495</v>
      </c>
      <c r="I250">
        <v>1</v>
      </c>
      <c r="J250">
        <v>658</v>
      </c>
      <c r="K250">
        <v>0</v>
      </c>
      <c r="L250">
        <v>4</v>
      </c>
      <c r="M250">
        <v>658</v>
      </c>
    </row>
    <row r="251" spans="1:13" x14ac:dyDescent="0.3">
      <c r="A251" t="s">
        <v>262</v>
      </c>
      <c r="B251" s="2">
        <v>45541</v>
      </c>
      <c r="C251" t="s">
        <v>480</v>
      </c>
      <c r="D251" t="s">
        <v>481</v>
      </c>
      <c r="E251">
        <v>56</v>
      </c>
      <c r="F251" t="s">
        <v>484</v>
      </c>
      <c r="G251" t="s">
        <v>487</v>
      </c>
      <c r="H251" t="s">
        <v>493</v>
      </c>
      <c r="I251">
        <v>3</v>
      </c>
      <c r="J251">
        <v>407</v>
      </c>
      <c r="K251">
        <v>0</v>
      </c>
      <c r="L251">
        <v>2</v>
      </c>
      <c r="M251">
        <v>1221</v>
      </c>
    </row>
    <row r="252" spans="1:13" x14ac:dyDescent="0.3">
      <c r="A252" t="s">
        <v>174</v>
      </c>
      <c r="B252" s="2">
        <v>45453</v>
      </c>
      <c r="C252" t="s">
        <v>415</v>
      </c>
      <c r="D252" t="s">
        <v>482</v>
      </c>
      <c r="E252">
        <v>40</v>
      </c>
      <c r="F252" t="s">
        <v>483</v>
      </c>
      <c r="G252" t="s">
        <v>491</v>
      </c>
      <c r="H252" t="s">
        <v>492</v>
      </c>
      <c r="I252">
        <v>5</v>
      </c>
      <c r="J252">
        <v>1184</v>
      </c>
      <c r="K252">
        <v>5</v>
      </c>
      <c r="L252">
        <v>1</v>
      </c>
      <c r="M252">
        <v>5624</v>
      </c>
    </row>
    <row r="253" spans="1:13" x14ac:dyDescent="0.3">
      <c r="A253" t="s">
        <v>83</v>
      </c>
      <c r="B253" s="2">
        <v>45362</v>
      </c>
      <c r="C253" t="s">
        <v>331</v>
      </c>
      <c r="D253" t="s">
        <v>482</v>
      </c>
      <c r="E253">
        <v>39</v>
      </c>
      <c r="F253" t="s">
        <v>485</v>
      </c>
      <c r="G253" t="s">
        <v>490</v>
      </c>
      <c r="H253" t="s">
        <v>494</v>
      </c>
      <c r="I253">
        <v>2</v>
      </c>
      <c r="J253">
        <v>2603</v>
      </c>
      <c r="L253">
        <v>6</v>
      </c>
      <c r="M253">
        <v>5206</v>
      </c>
    </row>
    <row r="254" spans="1:13" x14ac:dyDescent="0.3">
      <c r="A254" t="s">
        <v>67</v>
      </c>
      <c r="B254" s="2">
        <v>45346</v>
      </c>
      <c r="C254" t="s">
        <v>316</v>
      </c>
      <c r="D254" t="s">
        <v>482</v>
      </c>
      <c r="E254">
        <v>43</v>
      </c>
      <c r="F254" t="s">
        <v>485</v>
      </c>
      <c r="G254" t="s">
        <v>489</v>
      </c>
      <c r="H254" t="s">
        <v>494</v>
      </c>
      <c r="I254">
        <v>3</v>
      </c>
      <c r="J254">
        <v>1916</v>
      </c>
      <c r="K254">
        <v>10</v>
      </c>
      <c r="L254">
        <v>6</v>
      </c>
      <c r="M254">
        <v>5173.2</v>
      </c>
    </row>
    <row r="255" spans="1:13" x14ac:dyDescent="0.3">
      <c r="A255" t="s">
        <v>102</v>
      </c>
      <c r="B255" s="2">
        <v>45381</v>
      </c>
      <c r="C255" t="s">
        <v>348</v>
      </c>
      <c r="D255" t="s">
        <v>482</v>
      </c>
      <c r="E255">
        <v>56</v>
      </c>
      <c r="F255" t="s">
        <v>484</v>
      </c>
      <c r="G255" t="s">
        <v>491</v>
      </c>
      <c r="H255" t="s">
        <v>492</v>
      </c>
      <c r="I255">
        <v>1</v>
      </c>
      <c r="J255">
        <v>1447</v>
      </c>
      <c r="K255">
        <v>0</v>
      </c>
      <c r="L255">
        <v>8</v>
      </c>
      <c r="M255">
        <v>1447</v>
      </c>
    </row>
    <row r="256" spans="1:13" x14ac:dyDescent="0.3">
      <c r="A256" t="s">
        <v>243</v>
      </c>
      <c r="B256" s="2">
        <v>45522</v>
      </c>
      <c r="C256" t="s">
        <v>358</v>
      </c>
      <c r="D256" t="s">
        <v>481</v>
      </c>
      <c r="E256">
        <v>42</v>
      </c>
      <c r="F256" t="s">
        <v>485</v>
      </c>
      <c r="G256" t="s">
        <v>488</v>
      </c>
      <c r="H256" t="s">
        <v>495</v>
      </c>
      <c r="I256">
        <v>1</v>
      </c>
      <c r="J256">
        <v>2095</v>
      </c>
      <c r="K256">
        <v>5</v>
      </c>
      <c r="L256">
        <v>8</v>
      </c>
      <c r="M256">
        <v>1990.25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4FAA9-1001-49A3-91D4-CBE93560D635}">
  <dimension ref="A3:C9"/>
  <sheetViews>
    <sheetView workbookViewId="0">
      <selection activeCell="A3" sqref="A3:C9"/>
    </sheetView>
  </sheetViews>
  <sheetFormatPr defaultRowHeight="14.4" x14ac:dyDescent="0.3"/>
  <cols>
    <col min="1" max="1" width="18" bestFit="1" customWidth="1"/>
    <col min="2" max="2" width="17" bestFit="1" customWidth="1"/>
    <col min="3" max="3" width="21.33203125" bestFit="1" customWidth="1"/>
  </cols>
  <sheetData>
    <row r="3" spans="1:3" x14ac:dyDescent="0.3">
      <c r="A3" s="8" t="s">
        <v>502</v>
      </c>
      <c r="B3" t="s">
        <v>500</v>
      </c>
      <c r="C3" t="s">
        <v>501</v>
      </c>
    </row>
    <row r="4" spans="1:3" x14ac:dyDescent="0.3">
      <c r="A4" s="9" t="s">
        <v>489</v>
      </c>
      <c r="B4" s="6">
        <v>322332.14999999997</v>
      </c>
      <c r="C4" s="6">
        <v>7007.2206521739126</v>
      </c>
    </row>
    <row r="5" spans="1:3" x14ac:dyDescent="0.3">
      <c r="A5" s="9" t="s">
        <v>490</v>
      </c>
      <c r="B5" s="6">
        <v>371705.40000000008</v>
      </c>
      <c r="C5" s="6">
        <v>7288.3411764705897</v>
      </c>
    </row>
    <row r="6" spans="1:3" x14ac:dyDescent="0.3">
      <c r="A6" s="9" t="s">
        <v>487</v>
      </c>
      <c r="B6" s="6">
        <v>325609.7</v>
      </c>
      <c r="C6" s="6">
        <v>6384.5039215686274</v>
      </c>
    </row>
    <row r="7" spans="1:3" x14ac:dyDescent="0.3">
      <c r="A7" s="9" t="s">
        <v>491</v>
      </c>
      <c r="B7" s="6">
        <v>392283.94999999995</v>
      </c>
      <c r="C7" s="6">
        <v>8172.5822916666657</v>
      </c>
    </row>
    <row r="8" spans="1:3" x14ac:dyDescent="0.3">
      <c r="A8" s="9" t="s">
        <v>488</v>
      </c>
      <c r="B8" s="6">
        <v>340431.84999999992</v>
      </c>
      <c r="C8" s="6">
        <v>6304.293518518517</v>
      </c>
    </row>
    <row r="9" spans="1:3" x14ac:dyDescent="0.3">
      <c r="A9" s="9" t="s">
        <v>499</v>
      </c>
      <c r="B9" s="6">
        <v>1752363.0500000005</v>
      </c>
      <c r="C9" s="6">
        <v>7009.4522000000024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47C9C-8538-4772-AE96-201FE59260CF}">
  <dimension ref="A3:B8"/>
  <sheetViews>
    <sheetView workbookViewId="0">
      <selection activeCell="A3" sqref="A3:B8"/>
    </sheetView>
  </sheetViews>
  <sheetFormatPr defaultRowHeight="14.4" x14ac:dyDescent="0.3"/>
  <cols>
    <col min="1" max="1" width="18.109375" bestFit="1" customWidth="1"/>
    <col min="2" max="2" width="17" bestFit="1" customWidth="1"/>
    <col min="3" max="3" width="10.33203125" bestFit="1" customWidth="1"/>
    <col min="4" max="4" width="9.77734375" bestFit="1" customWidth="1"/>
    <col min="5" max="5" width="4" bestFit="1" customWidth="1"/>
    <col min="6" max="6" width="10.77734375" bestFit="1" customWidth="1"/>
    <col min="7" max="7" width="15" bestFit="1" customWidth="1"/>
    <col min="8" max="8" width="10.33203125" bestFit="1" customWidth="1"/>
    <col min="9" max="9" width="9.77734375" bestFit="1" customWidth="1"/>
    <col min="10" max="10" width="4" bestFit="1" customWidth="1"/>
    <col min="11" max="11" width="9.88671875" bestFit="1" customWidth="1"/>
    <col min="12" max="12" width="10.77734375" bestFit="1" customWidth="1"/>
  </cols>
  <sheetData>
    <row r="3" spans="1:2" x14ac:dyDescent="0.3">
      <c r="A3" s="8" t="s">
        <v>528</v>
      </c>
      <c r="B3" t="s">
        <v>500</v>
      </c>
    </row>
    <row r="4" spans="1:2" x14ac:dyDescent="0.3">
      <c r="A4" s="9" t="s">
        <v>492</v>
      </c>
      <c r="B4" s="6">
        <v>480465.05</v>
      </c>
    </row>
    <row r="5" spans="1:2" x14ac:dyDescent="0.3">
      <c r="A5" s="9" t="s">
        <v>493</v>
      </c>
      <c r="B5" s="6">
        <v>458501.4</v>
      </c>
    </row>
    <row r="6" spans="1:2" x14ac:dyDescent="0.3">
      <c r="A6" s="9" t="s">
        <v>495</v>
      </c>
      <c r="B6" s="6">
        <v>418522.55000000005</v>
      </c>
    </row>
    <row r="7" spans="1:2" x14ac:dyDescent="0.3">
      <c r="A7" s="9" t="s">
        <v>494</v>
      </c>
      <c r="B7" s="6">
        <v>394874.05</v>
      </c>
    </row>
    <row r="8" spans="1:2" x14ac:dyDescent="0.3">
      <c r="A8" s="9" t="s">
        <v>499</v>
      </c>
      <c r="B8" s="6">
        <v>1752363.05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76EEA-4CA9-4F74-B257-83DE52774149}">
  <dimension ref="A1:M251"/>
  <sheetViews>
    <sheetView workbookViewId="0"/>
  </sheetViews>
  <sheetFormatPr defaultRowHeight="14.4" x14ac:dyDescent="0.3"/>
  <cols>
    <col min="1" max="1" width="8.6640625" bestFit="1" customWidth="1"/>
    <col min="2" max="2" width="18.109375" style="4" bestFit="1" customWidth="1"/>
    <col min="3" max="3" width="11.88671875" bestFit="1" customWidth="1"/>
    <col min="4" max="4" width="7.109375" bestFit="1" customWidth="1"/>
    <col min="5" max="5" width="4.21875" bestFit="1" customWidth="1"/>
    <col min="6" max="6" width="6.77734375" bestFit="1" customWidth="1"/>
    <col min="7" max="7" width="16.33203125" bestFit="1" customWidth="1"/>
    <col min="8" max="8" width="16.44140625" bestFit="1" customWidth="1"/>
    <col min="9" max="9" width="8.33203125" bestFit="1" customWidth="1"/>
    <col min="10" max="10" width="9.6640625" bestFit="1" customWidth="1"/>
    <col min="11" max="11" width="10.77734375" bestFit="1" customWidth="1"/>
    <col min="12" max="12" width="12.77734375" bestFit="1" customWidth="1"/>
    <col min="13" max="13" width="10.44140625" style="6" bestFit="1" customWidth="1"/>
  </cols>
  <sheetData>
    <row r="1" spans="1:13" x14ac:dyDescent="0.3">
      <c r="A1" s="1" t="s">
        <v>0</v>
      </c>
      <c r="B1" s="3" t="s">
        <v>1</v>
      </c>
      <c r="C1" s="1" t="s">
        <v>2</v>
      </c>
      <c r="D1" s="1" t="s">
        <v>3</v>
      </c>
      <c r="E1" s="1" t="s">
        <v>4</v>
      </c>
      <c r="F1" s="1" t="s">
        <v>5</v>
      </c>
      <c r="G1" s="1" t="s">
        <v>6</v>
      </c>
      <c r="H1" s="1" t="s">
        <v>7</v>
      </c>
      <c r="I1" s="1" t="s">
        <v>8</v>
      </c>
      <c r="J1" s="1" t="s">
        <v>9</v>
      </c>
      <c r="K1" s="1" t="s">
        <v>10</v>
      </c>
      <c r="L1" s="1" t="s">
        <v>11</v>
      </c>
      <c r="M1" s="5" t="s">
        <v>12</v>
      </c>
    </row>
    <row r="2" spans="1:13" x14ac:dyDescent="0.3">
      <c r="A2" t="s">
        <v>13</v>
      </c>
      <c r="B2" s="4">
        <v>45292</v>
      </c>
      <c r="C2" t="s">
        <v>263</v>
      </c>
      <c r="D2" t="s">
        <v>481</v>
      </c>
      <c r="E2">
        <v>43</v>
      </c>
      <c r="F2" t="s">
        <v>483</v>
      </c>
      <c r="G2" t="s">
        <v>487</v>
      </c>
      <c r="H2" t="s">
        <v>492</v>
      </c>
      <c r="I2">
        <v>1</v>
      </c>
      <c r="J2">
        <v>4455</v>
      </c>
      <c r="K2">
        <v>5</v>
      </c>
      <c r="L2">
        <v>5</v>
      </c>
      <c r="M2" s="6">
        <v>4232.25</v>
      </c>
    </row>
    <row r="3" spans="1:13" x14ac:dyDescent="0.3">
      <c r="A3" t="s">
        <v>14</v>
      </c>
      <c r="B3" s="4">
        <v>45293</v>
      </c>
      <c r="C3" t="s">
        <v>264</v>
      </c>
      <c r="D3" t="s">
        <v>481</v>
      </c>
      <c r="E3">
        <v>34</v>
      </c>
      <c r="F3" t="s">
        <v>484</v>
      </c>
      <c r="G3" t="s">
        <v>488</v>
      </c>
      <c r="H3" t="s">
        <v>493</v>
      </c>
      <c r="I3">
        <v>2</v>
      </c>
      <c r="J3">
        <v>4269</v>
      </c>
      <c r="K3">
        <v>15</v>
      </c>
      <c r="L3">
        <v>4</v>
      </c>
      <c r="M3" s="6">
        <v>7257.3</v>
      </c>
    </row>
    <row r="4" spans="1:13" x14ac:dyDescent="0.3">
      <c r="A4" t="s">
        <v>15</v>
      </c>
      <c r="B4" s="4">
        <v>45294</v>
      </c>
      <c r="C4" t="s">
        <v>265</v>
      </c>
      <c r="D4" t="s">
        <v>481</v>
      </c>
      <c r="E4">
        <v>57</v>
      </c>
      <c r="F4" t="s">
        <v>483</v>
      </c>
      <c r="G4" t="s">
        <v>489</v>
      </c>
      <c r="H4" t="s">
        <v>493</v>
      </c>
      <c r="I4">
        <v>3</v>
      </c>
      <c r="J4">
        <v>1092</v>
      </c>
      <c r="K4">
        <v>5</v>
      </c>
      <c r="L4">
        <v>2</v>
      </c>
      <c r="M4" s="6">
        <v>3112.2</v>
      </c>
    </row>
    <row r="5" spans="1:13" x14ac:dyDescent="0.3">
      <c r="A5" t="s">
        <v>16</v>
      </c>
      <c r="B5" s="4">
        <v>45295</v>
      </c>
      <c r="C5" t="s">
        <v>266</v>
      </c>
      <c r="D5" t="s">
        <v>481</v>
      </c>
      <c r="E5">
        <v>50</v>
      </c>
      <c r="F5" t="s">
        <v>485</v>
      </c>
      <c r="G5" t="s">
        <v>489</v>
      </c>
      <c r="H5" t="s">
        <v>492</v>
      </c>
      <c r="I5">
        <v>1</v>
      </c>
      <c r="J5">
        <v>2230</v>
      </c>
      <c r="K5">
        <v>10</v>
      </c>
      <c r="L5">
        <v>8</v>
      </c>
      <c r="M5" s="6">
        <v>2007</v>
      </c>
    </row>
    <row r="6" spans="1:13" x14ac:dyDescent="0.3">
      <c r="A6" t="s">
        <v>17</v>
      </c>
      <c r="B6" s="4">
        <v>45296</v>
      </c>
      <c r="C6" t="s">
        <v>267</v>
      </c>
      <c r="D6" t="s">
        <v>482</v>
      </c>
      <c r="E6">
        <v>26</v>
      </c>
      <c r="F6" t="s">
        <v>486</v>
      </c>
      <c r="G6" t="s">
        <v>487</v>
      </c>
      <c r="H6" t="s">
        <v>493</v>
      </c>
      <c r="I6">
        <v>2</v>
      </c>
      <c r="J6">
        <v>3360</v>
      </c>
      <c r="K6">
        <v>5</v>
      </c>
      <c r="L6">
        <v>3</v>
      </c>
      <c r="M6" s="6">
        <v>6384</v>
      </c>
    </row>
    <row r="7" spans="1:13" x14ac:dyDescent="0.3">
      <c r="A7" t="s">
        <v>18</v>
      </c>
      <c r="B7" s="4">
        <v>45297</v>
      </c>
      <c r="C7" t="s">
        <v>268</v>
      </c>
      <c r="D7" t="s">
        <v>481</v>
      </c>
      <c r="E7">
        <v>56</v>
      </c>
      <c r="F7" t="s">
        <v>483</v>
      </c>
      <c r="G7" t="s">
        <v>488</v>
      </c>
      <c r="H7" t="s">
        <v>493</v>
      </c>
      <c r="I7">
        <v>3</v>
      </c>
      <c r="J7">
        <v>2576</v>
      </c>
      <c r="K7">
        <v>10</v>
      </c>
      <c r="L7">
        <v>4</v>
      </c>
      <c r="M7" s="6">
        <v>6955.2</v>
      </c>
    </row>
    <row r="8" spans="1:13" x14ac:dyDescent="0.3">
      <c r="A8" t="s">
        <v>19</v>
      </c>
      <c r="B8" s="4">
        <v>45298</v>
      </c>
      <c r="C8" t="s">
        <v>269</v>
      </c>
      <c r="D8" t="s">
        <v>482</v>
      </c>
      <c r="E8">
        <v>46</v>
      </c>
      <c r="F8" t="s">
        <v>484</v>
      </c>
      <c r="G8" t="s">
        <v>488</v>
      </c>
      <c r="H8" t="s">
        <v>493</v>
      </c>
      <c r="I8">
        <v>1</v>
      </c>
      <c r="J8">
        <v>4875</v>
      </c>
      <c r="K8">
        <v>0</v>
      </c>
      <c r="L8">
        <v>7</v>
      </c>
      <c r="M8" s="6">
        <v>4875</v>
      </c>
    </row>
    <row r="9" spans="1:13" x14ac:dyDescent="0.3">
      <c r="A9" t="s">
        <v>20</v>
      </c>
      <c r="B9" s="4">
        <v>45299</v>
      </c>
      <c r="C9" t="s">
        <v>270</v>
      </c>
      <c r="D9" t="s">
        <v>482</v>
      </c>
      <c r="E9">
        <v>59</v>
      </c>
      <c r="F9" t="s">
        <v>485</v>
      </c>
      <c r="G9" t="s">
        <v>488</v>
      </c>
      <c r="H9" t="s">
        <v>493</v>
      </c>
      <c r="I9">
        <v>1</v>
      </c>
      <c r="J9">
        <v>2133</v>
      </c>
      <c r="K9">
        <v>0</v>
      </c>
      <c r="L9">
        <v>9</v>
      </c>
      <c r="M9" s="6">
        <v>2133</v>
      </c>
    </row>
    <row r="10" spans="1:13" x14ac:dyDescent="0.3">
      <c r="A10" t="s">
        <v>21</v>
      </c>
      <c r="B10" s="4">
        <v>45300</v>
      </c>
      <c r="C10" t="s">
        <v>271</v>
      </c>
      <c r="D10" t="s">
        <v>482</v>
      </c>
      <c r="E10">
        <v>43</v>
      </c>
      <c r="F10" t="s">
        <v>483</v>
      </c>
      <c r="G10" t="s">
        <v>490</v>
      </c>
      <c r="H10" t="s">
        <v>493</v>
      </c>
      <c r="I10">
        <v>2</v>
      </c>
      <c r="J10">
        <v>1580</v>
      </c>
      <c r="K10">
        <v>0</v>
      </c>
      <c r="L10">
        <v>2</v>
      </c>
      <c r="M10" s="6">
        <v>3160</v>
      </c>
    </row>
    <row r="11" spans="1:13" x14ac:dyDescent="0.3">
      <c r="A11" t="s">
        <v>22</v>
      </c>
      <c r="B11" s="4">
        <v>45301</v>
      </c>
      <c r="C11" t="s">
        <v>272</v>
      </c>
      <c r="D11" t="s">
        <v>482</v>
      </c>
      <c r="E11">
        <v>52</v>
      </c>
      <c r="F11" t="s">
        <v>483</v>
      </c>
      <c r="G11" t="s">
        <v>491</v>
      </c>
      <c r="H11" t="s">
        <v>494</v>
      </c>
      <c r="I11">
        <v>5</v>
      </c>
      <c r="J11">
        <v>3881</v>
      </c>
      <c r="K11">
        <v>0</v>
      </c>
      <c r="L11">
        <v>3</v>
      </c>
      <c r="M11" s="6">
        <v>19405</v>
      </c>
    </row>
    <row r="12" spans="1:13" x14ac:dyDescent="0.3">
      <c r="A12" t="s">
        <v>23</v>
      </c>
      <c r="B12" s="4">
        <v>45302</v>
      </c>
      <c r="C12" t="s">
        <v>273</v>
      </c>
      <c r="D12" t="s">
        <v>481</v>
      </c>
      <c r="E12">
        <v>42</v>
      </c>
      <c r="F12" t="s">
        <v>485</v>
      </c>
      <c r="G12" t="s">
        <v>490</v>
      </c>
      <c r="H12" t="s">
        <v>493</v>
      </c>
      <c r="I12">
        <v>1</v>
      </c>
      <c r="J12">
        <v>1490</v>
      </c>
      <c r="K12">
        <v>15</v>
      </c>
      <c r="L12">
        <v>4</v>
      </c>
      <c r="M12" s="6">
        <v>1266.5</v>
      </c>
    </row>
    <row r="13" spans="1:13" x14ac:dyDescent="0.3">
      <c r="A13" t="s">
        <v>24</v>
      </c>
      <c r="B13" s="4">
        <v>45303</v>
      </c>
      <c r="C13" t="s">
        <v>274</v>
      </c>
      <c r="D13" t="s">
        <v>482</v>
      </c>
      <c r="E13">
        <v>41</v>
      </c>
      <c r="F13" t="s">
        <v>483</v>
      </c>
      <c r="G13" t="s">
        <v>491</v>
      </c>
      <c r="H13" t="s">
        <v>494</v>
      </c>
      <c r="I13">
        <v>1</v>
      </c>
      <c r="J13">
        <v>1840</v>
      </c>
      <c r="K13">
        <v>0</v>
      </c>
      <c r="L13">
        <v>1</v>
      </c>
      <c r="M13" s="6">
        <v>1840</v>
      </c>
    </row>
    <row r="14" spans="1:13" x14ac:dyDescent="0.3">
      <c r="A14" t="s">
        <v>25</v>
      </c>
      <c r="B14" s="4">
        <v>45304</v>
      </c>
      <c r="C14" t="s">
        <v>275</v>
      </c>
      <c r="D14" t="s">
        <v>482</v>
      </c>
      <c r="E14">
        <v>30</v>
      </c>
      <c r="F14" t="s">
        <v>486</v>
      </c>
      <c r="G14" t="s">
        <v>488</v>
      </c>
      <c r="H14" t="s">
        <v>493</v>
      </c>
      <c r="I14">
        <v>3</v>
      </c>
      <c r="J14">
        <v>2882</v>
      </c>
      <c r="K14">
        <v>0</v>
      </c>
      <c r="L14">
        <v>7</v>
      </c>
      <c r="M14" s="6">
        <v>8646</v>
      </c>
    </row>
    <row r="15" spans="1:13" x14ac:dyDescent="0.3">
      <c r="A15" t="s">
        <v>26</v>
      </c>
      <c r="B15" s="4">
        <v>45305</v>
      </c>
      <c r="C15" t="s">
        <v>276</v>
      </c>
      <c r="D15" t="s">
        <v>482</v>
      </c>
      <c r="E15">
        <v>24</v>
      </c>
      <c r="F15" t="s">
        <v>483</v>
      </c>
      <c r="G15" t="s">
        <v>488</v>
      </c>
      <c r="H15" t="s">
        <v>492</v>
      </c>
      <c r="I15">
        <v>4</v>
      </c>
      <c r="J15">
        <v>1187</v>
      </c>
      <c r="K15">
        <v>0</v>
      </c>
      <c r="L15">
        <v>2</v>
      </c>
      <c r="M15" s="6">
        <v>4748</v>
      </c>
    </row>
    <row r="16" spans="1:13" x14ac:dyDescent="0.3">
      <c r="A16" t="s">
        <v>27</v>
      </c>
      <c r="B16" s="4">
        <v>45306</v>
      </c>
      <c r="C16" t="s">
        <v>277</v>
      </c>
      <c r="D16" t="s">
        <v>481</v>
      </c>
      <c r="E16">
        <v>53</v>
      </c>
      <c r="F16" t="s">
        <v>486</v>
      </c>
      <c r="G16" t="s">
        <v>490</v>
      </c>
      <c r="H16" t="s">
        <v>495</v>
      </c>
      <c r="I16">
        <v>2</v>
      </c>
      <c r="J16">
        <v>1418</v>
      </c>
      <c r="K16">
        <v>0</v>
      </c>
      <c r="L16">
        <v>5</v>
      </c>
      <c r="M16" s="6">
        <v>2836</v>
      </c>
    </row>
    <row r="17" spans="1:13" x14ac:dyDescent="0.3">
      <c r="A17" t="s">
        <v>28</v>
      </c>
      <c r="B17" s="4">
        <v>45307</v>
      </c>
      <c r="C17" t="s">
        <v>278</v>
      </c>
      <c r="D17" t="s">
        <v>481</v>
      </c>
      <c r="E17">
        <v>37</v>
      </c>
      <c r="F17" t="s">
        <v>486</v>
      </c>
      <c r="G17" t="s">
        <v>490</v>
      </c>
      <c r="H17" t="s">
        <v>494</v>
      </c>
      <c r="I17">
        <v>2</v>
      </c>
      <c r="J17">
        <v>1555</v>
      </c>
      <c r="K17">
        <v>10</v>
      </c>
      <c r="L17">
        <v>1</v>
      </c>
      <c r="M17" s="6">
        <v>2799</v>
      </c>
    </row>
    <row r="18" spans="1:13" x14ac:dyDescent="0.3">
      <c r="A18" t="s">
        <v>29</v>
      </c>
      <c r="B18" s="4">
        <v>45308</v>
      </c>
      <c r="C18" t="s">
        <v>279</v>
      </c>
      <c r="D18" t="s">
        <v>481</v>
      </c>
      <c r="E18">
        <v>18</v>
      </c>
      <c r="F18" t="s">
        <v>485</v>
      </c>
      <c r="G18" t="s">
        <v>491</v>
      </c>
      <c r="H18" t="s">
        <v>493</v>
      </c>
      <c r="I18">
        <v>5</v>
      </c>
      <c r="J18">
        <v>4465</v>
      </c>
      <c r="K18">
        <v>10</v>
      </c>
      <c r="L18">
        <v>3</v>
      </c>
      <c r="M18" s="6">
        <v>20092.5</v>
      </c>
    </row>
    <row r="19" spans="1:13" x14ac:dyDescent="0.3">
      <c r="A19" t="s">
        <v>30</v>
      </c>
      <c r="B19" s="4">
        <v>45309</v>
      </c>
      <c r="C19" t="s">
        <v>280</v>
      </c>
      <c r="D19" t="s">
        <v>481</v>
      </c>
      <c r="E19">
        <v>25</v>
      </c>
      <c r="F19" t="s">
        <v>483</v>
      </c>
      <c r="G19" t="s">
        <v>489</v>
      </c>
      <c r="H19" t="s">
        <v>492</v>
      </c>
      <c r="I19">
        <v>5</v>
      </c>
      <c r="J19">
        <v>4816</v>
      </c>
      <c r="K19">
        <v>5</v>
      </c>
      <c r="L19">
        <v>2</v>
      </c>
      <c r="M19" s="6">
        <v>22876</v>
      </c>
    </row>
    <row r="20" spans="1:13" x14ac:dyDescent="0.3">
      <c r="A20" t="s">
        <v>31</v>
      </c>
      <c r="B20" s="4">
        <v>45310</v>
      </c>
      <c r="C20" t="s">
        <v>281</v>
      </c>
      <c r="D20" t="s">
        <v>482</v>
      </c>
      <c r="E20">
        <v>33</v>
      </c>
      <c r="F20" t="s">
        <v>485</v>
      </c>
      <c r="G20" t="s">
        <v>491</v>
      </c>
      <c r="H20" t="s">
        <v>495</v>
      </c>
      <c r="I20">
        <v>2</v>
      </c>
      <c r="J20">
        <v>4335</v>
      </c>
      <c r="K20">
        <v>5</v>
      </c>
      <c r="L20">
        <v>1</v>
      </c>
      <c r="M20" s="6">
        <v>8236.5</v>
      </c>
    </row>
    <row r="21" spans="1:13" x14ac:dyDescent="0.3">
      <c r="A21" t="s">
        <v>32</v>
      </c>
      <c r="B21" s="4">
        <v>45311</v>
      </c>
      <c r="C21" t="s">
        <v>282</v>
      </c>
      <c r="D21" t="s">
        <v>482</v>
      </c>
      <c r="E21">
        <v>31</v>
      </c>
      <c r="F21" t="s">
        <v>483</v>
      </c>
      <c r="G21" t="s">
        <v>490</v>
      </c>
      <c r="H21" t="s">
        <v>494</v>
      </c>
      <c r="I21">
        <v>5</v>
      </c>
      <c r="J21">
        <v>1760</v>
      </c>
      <c r="K21">
        <v>10</v>
      </c>
      <c r="L21">
        <v>7</v>
      </c>
      <c r="M21" s="6">
        <v>7920</v>
      </c>
    </row>
    <row r="22" spans="1:13" x14ac:dyDescent="0.3">
      <c r="A22" t="s">
        <v>33</v>
      </c>
      <c r="B22" s="4">
        <v>45312</v>
      </c>
      <c r="C22" t="s">
        <v>283</v>
      </c>
      <c r="D22" t="s">
        <v>481</v>
      </c>
      <c r="E22">
        <v>29</v>
      </c>
      <c r="F22" t="s">
        <v>483</v>
      </c>
      <c r="G22" t="s">
        <v>490</v>
      </c>
      <c r="H22" t="s">
        <v>495</v>
      </c>
      <c r="I22">
        <v>3</v>
      </c>
      <c r="J22">
        <v>1618</v>
      </c>
      <c r="K22">
        <v>0</v>
      </c>
      <c r="L22">
        <v>5</v>
      </c>
      <c r="M22" s="6">
        <v>4854</v>
      </c>
    </row>
    <row r="23" spans="1:13" x14ac:dyDescent="0.3">
      <c r="A23" t="s">
        <v>34</v>
      </c>
      <c r="B23" s="4">
        <v>45313</v>
      </c>
      <c r="C23" t="s">
        <v>284</v>
      </c>
      <c r="D23" t="s">
        <v>482</v>
      </c>
      <c r="E23">
        <v>40</v>
      </c>
      <c r="F23" t="s">
        <v>484</v>
      </c>
      <c r="G23" t="s">
        <v>487</v>
      </c>
      <c r="H23" t="s">
        <v>492</v>
      </c>
      <c r="I23">
        <v>2</v>
      </c>
      <c r="J23">
        <v>1154</v>
      </c>
      <c r="K23">
        <v>0</v>
      </c>
      <c r="L23">
        <v>1</v>
      </c>
      <c r="M23" s="6">
        <v>2308</v>
      </c>
    </row>
    <row r="24" spans="1:13" x14ac:dyDescent="0.3">
      <c r="A24" t="s">
        <v>35</v>
      </c>
      <c r="B24" s="4">
        <v>45314</v>
      </c>
      <c r="C24" t="s">
        <v>285</v>
      </c>
      <c r="D24" t="s">
        <v>482</v>
      </c>
      <c r="E24">
        <v>32</v>
      </c>
      <c r="F24" t="s">
        <v>483</v>
      </c>
      <c r="G24" t="s">
        <v>490</v>
      </c>
      <c r="H24" t="s">
        <v>494</v>
      </c>
      <c r="I24">
        <v>5</v>
      </c>
      <c r="J24">
        <v>1183</v>
      </c>
      <c r="K24">
        <v>0</v>
      </c>
      <c r="L24">
        <v>6</v>
      </c>
      <c r="M24" s="6">
        <v>5915</v>
      </c>
    </row>
    <row r="25" spans="1:13" x14ac:dyDescent="0.3">
      <c r="A25" t="s">
        <v>36</v>
      </c>
      <c r="B25" s="4">
        <v>45315</v>
      </c>
      <c r="C25" t="s">
        <v>286</v>
      </c>
      <c r="D25" t="s">
        <v>482</v>
      </c>
      <c r="E25">
        <v>45</v>
      </c>
      <c r="F25" t="s">
        <v>485</v>
      </c>
      <c r="G25" t="s">
        <v>487</v>
      </c>
      <c r="H25" t="s">
        <v>495</v>
      </c>
      <c r="I25">
        <v>2</v>
      </c>
      <c r="J25">
        <v>1174</v>
      </c>
      <c r="K25">
        <v>10</v>
      </c>
      <c r="L25">
        <v>5</v>
      </c>
      <c r="M25" s="6">
        <v>2113.1999999999998</v>
      </c>
    </row>
    <row r="26" spans="1:13" x14ac:dyDescent="0.3">
      <c r="A26" t="s">
        <v>37</v>
      </c>
      <c r="B26" s="4">
        <v>45316</v>
      </c>
      <c r="C26" t="s">
        <v>287</v>
      </c>
      <c r="D26" t="s">
        <v>481</v>
      </c>
      <c r="E26">
        <v>51</v>
      </c>
      <c r="F26" t="s">
        <v>486</v>
      </c>
      <c r="G26" t="s">
        <v>489</v>
      </c>
      <c r="H26" t="s">
        <v>493</v>
      </c>
      <c r="I26">
        <v>4</v>
      </c>
      <c r="J26">
        <v>4333</v>
      </c>
      <c r="K26">
        <v>0</v>
      </c>
      <c r="L26">
        <v>3</v>
      </c>
      <c r="M26" s="6">
        <v>17332</v>
      </c>
    </row>
    <row r="27" spans="1:13" x14ac:dyDescent="0.3">
      <c r="A27" t="s">
        <v>38</v>
      </c>
      <c r="B27" s="4">
        <v>45317</v>
      </c>
      <c r="C27" t="s">
        <v>288</v>
      </c>
      <c r="D27" t="s">
        <v>481</v>
      </c>
      <c r="E27">
        <v>19</v>
      </c>
      <c r="F27" t="s">
        <v>483</v>
      </c>
      <c r="G27" t="s">
        <v>491</v>
      </c>
      <c r="H27" t="s">
        <v>494</v>
      </c>
      <c r="I27">
        <v>1</v>
      </c>
      <c r="J27">
        <v>4172</v>
      </c>
      <c r="K27">
        <v>10</v>
      </c>
      <c r="L27">
        <v>7</v>
      </c>
      <c r="M27" s="6">
        <v>3754.8</v>
      </c>
    </row>
    <row r="28" spans="1:13" x14ac:dyDescent="0.3">
      <c r="A28" t="s">
        <v>39</v>
      </c>
      <c r="B28" s="4">
        <v>45318</v>
      </c>
      <c r="C28" t="s">
        <v>289</v>
      </c>
      <c r="D28" t="s">
        <v>482</v>
      </c>
      <c r="E28">
        <v>49</v>
      </c>
      <c r="F28" t="s">
        <v>484</v>
      </c>
      <c r="G28" t="s">
        <v>491</v>
      </c>
      <c r="H28" t="s">
        <v>495</v>
      </c>
      <c r="I28">
        <v>2</v>
      </c>
      <c r="J28">
        <v>1113</v>
      </c>
      <c r="K28">
        <v>0</v>
      </c>
      <c r="L28">
        <v>9</v>
      </c>
      <c r="M28" s="6">
        <v>2226</v>
      </c>
    </row>
    <row r="29" spans="1:13" x14ac:dyDescent="0.3">
      <c r="A29" t="s">
        <v>40</v>
      </c>
      <c r="B29" s="4">
        <v>45319</v>
      </c>
      <c r="C29" t="s">
        <v>290</v>
      </c>
      <c r="D29" t="s">
        <v>481</v>
      </c>
      <c r="E29">
        <v>40</v>
      </c>
      <c r="F29" t="s">
        <v>485</v>
      </c>
      <c r="G29" t="s">
        <v>487</v>
      </c>
      <c r="H29" t="s">
        <v>492</v>
      </c>
      <c r="I29">
        <v>1</v>
      </c>
      <c r="J29">
        <v>4749</v>
      </c>
      <c r="K29">
        <v>0</v>
      </c>
      <c r="L29">
        <v>9</v>
      </c>
      <c r="M29" s="6">
        <v>4749</v>
      </c>
    </row>
    <row r="30" spans="1:13" x14ac:dyDescent="0.3">
      <c r="A30" t="s">
        <v>41</v>
      </c>
      <c r="B30" s="4">
        <v>45320</v>
      </c>
      <c r="C30" t="s">
        <v>291</v>
      </c>
      <c r="D30" t="s">
        <v>481</v>
      </c>
      <c r="E30">
        <v>39</v>
      </c>
      <c r="F30" t="s">
        <v>483</v>
      </c>
      <c r="G30" t="s">
        <v>491</v>
      </c>
      <c r="H30" t="s">
        <v>492</v>
      </c>
      <c r="I30">
        <v>5</v>
      </c>
      <c r="J30">
        <v>236</v>
      </c>
      <c r="K30">
        <v>0</v>
      </c>
      <c r="L30">
        <v>9</v>
      </c>
      <c r="M30" s="6">
        <v>1180</v>
      </c>
    </row>
    <row r="31" spans="1:13" x14ac:dyDescent="0.3">
      <c r="A31" t="s">
        <v>42</v>
      </c>
      <c r="B31" s="4">
        <v>45321</v>
      </c>
      <c r="C31" t="s">
        <v>292</v>
      </c>
      <c r="D31" t="s">
        <v>481</v>
      </c>
      <c r="E31">
        <v>42</v>
      </c>
      <c r="F31" t="s">
        <v>485</v>
      </c>
      <c r="G31" t="s">
        <v>490</v>
      </c>
      <c r="H31" t="s">
        <v>494</v>
      </c>
      <c r="I31">
        <v>1</v>
      </c>
      <c r="J31">
        <v>3587</v>
      </c>
      <c r="K31">
        <v>5</v>
      </c>
      <c r="L31">
        <v>2</v>
      </c>
      <c r="M31" s="6">
        <v>3407.65</v>
      </c>
    </row>
    <row r="32" spans="1:13" x14ac:dyDescent="0.3">
      <c r="A32" t="s">
        <v>43</v>
      </c>
      <c r="B32" s="4">
        <v>45322</v>
      </c>
      <c r="C32" t="s">
        <v>293</v>
      </c>
      <c r="D32" t="s">
        <v>481</v>
      </c>
      <c r="E32">
        <v>39</v>
      </c>
      <c r="F32" t="s">
        <v>484</v>
      </c>
      <c r="G32" t="s">
        <v>488</v>
      </c>
      <c r="H32" t="s">
        <v>495</v>
      </c>
      <c r="I32">
        <v>2</v>
      </c>
      <c r="J32">
        <v>1911</v>
      </c>
      <c r="K32">
        <v>15</v>
      </c>
      <c r="L32">
        <v>3</v>
      </c>
      <c r="M32" s="6">
        <v>3248.7</v>
      </c>
    </row>
    <row r="33" spans="1:13" x14ac:dyDescent="0.3">
      <c r="A33" t="s">
        <v>44</v>
      </c>
      <c r="B33" s="4">
        <v>45323</v>
      </c>
      <c r="C33" t="s">
        <v>294</v>
      </c>
      <c r="D33" t="s">
        <v>481</v>
      </c>
      <c r="E33">
        <v>39</v>
      </c>
      <c r="F33" t="s">
        <v>484</v>
      </c>
      <c r="G33" t="s">
        <v>487</v>
      </c>
      <c r="H33" t="s">
        <v>494</v>
      </c>
      <c r="I33">
        <v>4</v>
      </c>
      <c r="J33">
        <v>3220</v>
      </c>
      <c r="K33">
        <v>10</v>
      </c>
      <c r="L33">
        <v>7</v>
      </c>
      <c r="M33" s="6">
        <v>11592</v>
      </c>
    </row>
    <row r="34" spans="1:13" x14ac:dyDescent="0.3">
      <c r="A34" t="s">
        <v>45</v>
      </c>
      <c r="B34" s="4">
        <v>45324</v>
      </c>
      <c r="C34" t="s">
        <v>295</v>
      </c>
      <c r="D34" t="s">
        <v>482</v>
      </c>
      <c r="E34">
        <v>59</v>
      </c>
      <c r="F34" t="s">
        <v>485</v>
      </c>
      <c r="G34" t="s">
        <v>491</v>
      </c>
      <c r="H34" t="s">
        <v>494</v>
      </c>
      <c r="I34">
        <v>5</v>
      </c>
      <c r="J34">
        <v>995</v>
      </c>
      <c r="K34">
        <v>10</v>
      </c>
      <c r="L34">
        <v>5</v>
      </c>
      <c r="M34" s="6">
        <v>4477.5</v>
      </c>
    </row>
    <row r="35" spans="1:13" x14ac:dyDescent="0.3">
      <c r="A35" t="s">
        <v>46</v>
      </c>
      <c r="B35" s="4">
        <v>45325</v>
      </c>
      <c r="C35" t="s">
        <v>296</v>
      </c>
      <c r="D35" t="s">
        <v>481</v>
      </c>
      <c r="E35">
        <v>23</v>
      </c>
      <c r="F35" t="s">
        <v>483</v>
      </c>
      <c r="G35" t="s">
        <v>487</v>
      </c>
      <c r="H35" t="s">
        <v>495</v>
      </c>
      <c r="I35">
        <v>2</v>
      </c>
      <c r="J35">
        <v>4236</v>
      </c>
      <c r="K35">
        <v>5</v>
      </c>
      <c r="L35">
        <v>2</v>
      </c>
      <c r="M35" s="6">
        <v>8048.4</v>
      </c>
    </row>
    <row r="36" spans="1:13" x14ac:dyDescent="0.3">
      <c r="A36" t="s">
        <v>47</v>
      </c>
      <c r="B36" s="4">
        <v>45326</v>
      </c>
      <c r="C36" t="s">
        <v>297</v>
      </c>
      <c r="D36" t="s">
        <v>482</v>
      </c>
      <c r="E36">
        <v>32</v>
      </c>
      <c r="F36" t="s">
        <v>486</v>
      </c>
      <c r="G36" t="s">
        <v>487</v>
      </c>
      <c r="H36" t="s">
        <v>495</v>
      </c>
      <c r="I36">
        <v>5</v>
      </c>
      <c r="J36">
        <v>4888</v>
      </c>
      <c r="K36">
        <v>0</v>
      </c>
      <c r="L36">
        <v>3</v>
      </c>
      <c r="M36" s="6">
        <v>24440</v>
      </c>
    </row>
    <row r="37" spans="1:13" x14ac:dyDescent="0.3">
      <c r="A37" t="s">
        <v>48</v>
      </c>
      <c r="B37" s="4">
        <v>45327</v>
      </c>
      <c r="C37" t="s">
        <v>298</v>
      </c>
      <c r="D37" t="s">
        <v>482</v>
      </c>
      <c r="E37">
        <v>54</v>
      </c>
      <c r="F37" t="s">
        <v>484</v>
      </c>
      <c r="G37" t="s">
        <v>488</v>
      </c>
      <c r="H37" t="s">
        <v>493</v>
      </c>
      <c r="I37">
        <v>3</v>
      </c>
      <c r="J37">
        <v>3311</v>
      </c>
      <c r="K37">
        <v>0</v>
      </c>
      <c r="L37">
        <v>6</v>
      </c>
      <c r="M37" s="6">
        <v>9933</v>
      </c>
    </row>
    <row r="38" spans="1:13" x14ac:dyDescent="0.3">
      <c r="A38" t="s">
        <v>49</v>
      </c>
      <c r="B38" s="4">
        <v>45328</v>
      </c>
      <c r="C38" t="s">
        <v>299</v>
      </c>
      <c r="D38" t="s">
        <v>481</v>
      </c>
      <c r="E38">
        <v>50</v>
      </c>
      <c r="F38" t="s">
        <v>483</v>
      </c>
      <c r="G38" t="s">
        <v>490</v>
      </c>
      <c r="H38" t="s">
        <v>495</v>
      </c>
      <c r="I38">
        <v>1</v>
      </c>
      <c r="J38">
        <v>1524</v>
      </c>
      <c r="K38">
        <v>0</v>
      </c>
      <c r="L38">
        <v>7</v>
      </c>
      <c r="M38" s="6">
        <v>1524</v>
      </c>
    </row>
    <row r="39" spans="1:13" x14ac:dyDescent="0.3">
      <c r="A39" t="s">
        <v>50</v>
      </c>
      <c r="B39" s="4">
        <v>45329</v>
      </c>
      <c r="C39" t="s">
        <v>300</v>
      </c>
      <c r="D39" t="s">
        <v>482</v>
      </c>
      <c r="E39">
        <v>25</v>
      </c>
      <c r="F39" t="s">
        <v>483</v>
      </c>
      <c r="G39" t="s">
        <v>487</v>
      </c>
      <c r="H39" t="s">
        <v>492</v>
      </c>
      <c r="I39">
        <v>3</v>
      </c>
      <c r="J39">
        <v>517</v>
      </c>
      <c r="K39">
        <v>0</v>
      </c>
      <c r="L39">
        <v>9</v>
      </c>
      <c r="M39" s="6">
        <v>1551</v>
      </c>
    </row>
    <row r="40" spans="1:13" x14ac:dyDescent="0.3">
      <c r="A40" t="s">
        <v>51</v>
      </c>
      <c r="B40" s="4">
        <v>45330</v>
      </c>
      <c r="C40" t="s">
        <v>301</v>
      </c>
      <c r="D40" t="s">
        <v>482</v>
      </c>
      <c r="E40">
        <v>22</v>
      </c>
      <c r="F40" t="s">
        <v>486</v>
      </c>
      <c r="G40" t="s">
        <v>491</v>
      </c>
      <c r="H40" t="s">
        <v>494</v>
      </c>
      <c r="I40">
        <v>2</v>
      </c>
      <c r="J40">
        <v>2596</v>
      </c>
      <c r="K40">
        <v>15</v>
      </c>
      <c r="L40">
        <v>1</v>
      </c>
      <c r="M40" s="6">
        <v>4413.2</v>
      </c>
    </row>
    <row r="41" spans="1:13" x14ac:dyDescent="0.3">
      <c r="A41" t="s">
        <v>52</v>
      </c>
      <c r="B41" s="4">
        <v>45331</v>
      </c>
      <c r="C41" t="s">
        <v>302</v>
      </c>
      <c r="D41" t="s">
        <v>482</v>
      </c>
      <c r="E41">
        <v>56</v>
      </c>
      <c r="F41" t="s">
        <v>484</v>
      </c>
      <c r="G41" t="s">
        <v>489</v>
      </c>
      <c r="H41" t="s">
        <v>494</v>
      </c>
      <c r="I41">
        <v>4</v>
      </c>
      <c r="J41">
        <v>2362</v>
      </c>
      <c r="K41">
        <v>5</v>
      </c>
      <c r="L41">
        <v>7</v>
      </c>
      <c r="M41" s="6">
        <v>8975.6</v>
      </c>
    </row>
    <row r="42" spans="1:13" x14ac:dyDescent="0.3">
      <c r="A42" t="s">
        <v>53</v>
      </c>
      <c r="B42" s="4">
        <v>45332</v>
      </c>
      <c r="C42" t="s">
        <v>303</v>
      </c>
      <c r="D42" t="s">
        <v>481</v>
      </c>
      <c r="E42">
        <v>21</v>
      </c>
      <c r="F42" t="s">
        <v>484</v>
      </c>
      <c r="G42" t="s">
        <v>487</v>
      </c>
      <c r="H42" t="s">
        <v>492</v>
      </c>
      <c r="I42">
        <v>5</v>
      </c>
      <c r="J42">
        <v>2945</v>
      </c>
      <c r="K42">
        <v>5</v>
      </c>
      <c r="L42">
        <v>8</v>
      </c>
      <c r="M42" s="6">
        <v>13988.75</v>
      </c>
    </row>
    <row r="43" spans="1:13" x14ac:dyDescent="0.3">
      <c r="A43" t="s">
        <v>54</v>
      </c>
      <c r="B43" s="4">
        <v>45333</v>
      </c>
      <c r="C43" t="s">
        <v>304</v>
      </c>
      <c r="D43" t="s">
        <v>481</v>
      </c>
      <c r="E43">
        <v>23</v>
      </c>
      <c r="F43" t="s">
        <v>483</v>
      </c>
      <c r="G43" t="s">
        <v>487</v>
      </c>
      <c r="H43" t="s">
        <v>495</v>
      </c>
      <c r="I43">
        <v>1</v>
      </c>
      <c r="J43">
        <v>1791</v>
      </c>
      <c r="K43">
        <v>10</v>
      </c>
      <c r="L43">
        <v>3</v>
      </c>
      <c r="M43" s="6">
        <v>1611.9</v>
      </c>
    </row>
    <row r="44" spans="1:13" x14ac:dyDescent="0.3">
      <c r="A44" t="s">
        <v>55</v>
      </c>
      <c r="B44" s="4">
        <v>45334</v>
      </c>
      <c r="C44" t="s">
        <v>305</v>
      </c>
      <c r="D44" t="s">
        <v>482</v>
      </c>
      <c r="E44">
        <v>49</v>
      </c>
      <c r="F44" t="s">
        <v>483</v>
      </c>
      <c r="G44" t="s">
        <v>488</v>
      </c>
      <c r="H44" t="s">
        <v>492</v>
      </c>
      <c r="I44">
        <v>5</v>
      </c>
      <c r="J44">
        <v>3311</v>
      </c>
      <c r="K44">
        <v>5</v>
      </c>
      <c r="L44">
        <v>4</v>
      </c>
      <c r="M44" s="6">
        <v>15727.25</v>
      </c>
    </row>
    <row r="45" spans="1:13" x14ac:dyDescent="0.3">
      <c r="A45" t="s">
        <v>56</v>
      </c>
      <c r="B45" s="4">
        <v>45335</v>
      </c>
      <c r="C45" t="s">
        <v>306</v>
      </c>
      <c r="D45" t="s">
        <v>481</v>
      </c>
      <c r="E45">
        <v>47</v>
      </c>
      <c r="F45" t="s">
        <v>486</v>
      </c>
      <c r="G45" t="s">
        <v>490</v>
      </c>
      <c r="H45" t="s">
        <v>492</v>
      </c>
      <c r="I45">
        <v>2</v>
      </c>
      <c r="J45">
        <v>4130</v>
      </c>
      <c r="K45">
        <v>15</v>
      </c>
      <c r="L45">
        <v>6</v>
      </c>
      <c r="M45" s="6">
        <v>7021</v>
      </c>
    </row>
    <row r="46" spans="1:13" x14ac:dyDescent="0.3">
      <c r="A46" t="s">
        <v>57</v>
      </c>
      <c r="B46" s="4">
        <v>45336</v>
      </c>
      <c r="C46" t="s">
        <v>307</v>
      </c>
      <c r="D46" t="s">
        <v>481</v>
      </c>
      <c r="E46">
        <v>52</v>
      </c>
      <c r="F46" t="s">
        <v>486</v>
      </c>
      <c r="G46" t="s">
        <v>489</v>
      </c>
      <c r="H46" t="s">
        <v>493</v>
      </c>
      <c r="I46">
        <v>5</v>
      </c>
      <c r="J46">
        <v>2196</v>
      </c>
      <c r="K46">
        <v>0</v>
      </c>
      <c r="L46">
        <v>7</v>
      </c>
      <c r="M46" s="6">
        <v>10980</v>
      </c>
    </row>
    <row r="47" spans="1:13" x14ac:dyDescent="0.3">
      <c r="A47" t="s">
        <v>58</v>
      </c>
      <c r="B47" s="4">
        <v>45337</v>
      </c>
      <c r="C47" t="s">
        <v>308</v>
      </c>
      <c r="D47" t="s">
        <v>481</v>
      </c>
      <c r="E47">
        <v>57</v>
      </c>
      <c r="F47" t="s">
        <v>484</v>
      </c>
      <c r="G47" t="s">
        <v>491</v>
      </c>
      <c r="H47" t="s">
        <v>492</v>
      </c>
      <c r="I47">
        <v>1</v>
      </c>
      <c r="J47">
        <v>1512</v>
      </c>
      <c r="K47">
        <v>5</v>
      </c>
      <c r="L47">
        <v>4</v>
      </c>
      <c r="M47" s="6">
        <v>1436.4</v>
      </c>
    </row>
    <row r="48" spans="1:13" x14ac:dyDescent="0.3">
      <c r="A48" t="s">
        <v>59</v>
      </c>
      <c r="B48" s="4">
        <v>45338</v>
      </c>
      <c r="C48" t="s">
        <v>309</v>
      </c>
      <c r="D48" t="s">
        <v>481</v>
      </c>
      <c r="E48">
        <v>33</v>
      </c>
      <c r="F48" t="s">
        <v>485</v>
      </c>
      <c r="G48" t="s">
        <v>489</v>
      </c>
      <c r="H48" t="s">
        <v>494</v>
      </c>
      <c r="I48">
        <v>2</v>
      </c>
      <c r="J48">
        <v>1485</v>
      </c>
      <c r="K48">
        <v>0</v>
      </c>
      <c r="L48">
        <v>8</v>
      </c>
      <c r="M48" s="6">
        <v>2970</v>
      </c>
    </row>
    <row r="49" spans="1:13" x14ac:dyDescent="0.3">
      <c r="A49" t="s">
        <v>60</v>
      </c>
      <c r="B49" s="4">
        <v>45339</v>
      </c>
      <c r="C49" t="s">
        <v>310</v>
      </c>
      <c r="D49" t="s">
        <v>482</v>
      </c>
      <c r="E49">
        <v>30</v>
      </c>
      <c r="F49" t="s">
        <v>484</v>
      </c>
      <c r="G49" t="s">
        <v>491</v>
      </c>
      <c r="H49" t="s">
        <v>492</v>
      </c>
      <c r="I49">
        <v>5</v>
      </c>
      <c r="J49">
        <v>4511</v>
      </c>
      <c r="K49">
        <v>5</v>
      </c>
      <c r="L49">
        <v>5</v>
      </c>
      <c r="M49" s="6">
        <v>21427.25</v>
      </c>
    </row>
    <row r="50" spans="1:13" x14ac:dyDescent="0.3">
      <c r="A50" t="s">
        <v>61</v>
      </c>
      <c r="B50" s="4">
        <v>45340</v>
      </c>
      <c r="C50" t="s">
        <v>311</v>
      </c>
      <c r="D50" t="s">
        <v>482</v>
      </c>
      <c r="E50">
        <v>59</v>
      </c>
      <c r="F50" t="s">
        <v>483</v>
      </c>
      <c r="G50" t="s">
        <v>490</v>
      </c>
      <c r="H50" t="s">
        <v>494</v>
      </c>
      <c r="I50">
        <v>4</v>
      </c>
      <c r="J50">
        <v>2583</v>
      </c>
      <c r="K50">
        <v>0</v>
      </c>
      <c r="L50">
        <v>1</v>
      </c>
      <c r="M50" s="6">
        <v>10332</v>
      </c>
    </row>
    <row r="51" spans="1:13" x14ac:dyDescent="0.3">
      <c r="A51" t="s">
        <v>62</v>
      </c>
      <c r="B51" s="4">
        <v>45341</v>
      </c>
      <c r="C51" t="s">
        <v>312</v>
      </c>
      <c r="D51" t="s">
        <v>481</v>
      </c>
      <c r="E51">
        <v>47</v>
      </c>
      <c r="F51" t="s">
        <v>484</v>
      </c>
      <c r="G51" t="s">
        <v>491</v>
      </c>
      <c r="H51" t="s">
        <v>494</v>
      </c>
      <c r="I51">
        <v>2</v>
      </c>
      <c r="J51">
        <v>3439</v>
      </c>
      <c r="K51">
        <v>0</v>
      </c>
      <c r="L51">
        <v>4</v>
      </c>
      <c r="M51" s="6">
        <v>6878</v>
      </c>
    </row>
    <row r="52" spans="1:13" x14ac:dyDescent="0.3">
      <c r="A52" t="s">
        <v>63</v>
      </c>
      <c r="B52" s="4">
        <v>45342</v>
      </c>
      <c r="C52" t="s">
        <v>313</v>
      </c>
      <c r="D52" t="s">
        <v>481</v>
      </c>
      <c r="E52">
        <v>36</v>
      </c>
      <c r="F52" t="s">
        <v>485</v>
      </c>
      <c r="G52" t="s">
        <v>488</v>
      </c>
      <c r="H52" t="s">
        <v>494</v>
      </c>
      <c r="I52">
        <v>2</v>
      </c>
      <c r="J52">
        <v>2339</v>
      </c>
      <c r="K52">
        <v>10</v>
      </c>
      <c r="L52">
        <v>3</v>
      </c>
      <c r="M52" s="6">
        <v>4210.2</v>
      </c>
    </row>
    <row r="53" spans="1:13" x14ac:dyDescent="0.3">
      <c r="A53" t="s">
        <v>64</v>
      </c>
      <c r="B53" s="4">
        <v>45343</v>
      </c>
      <c r="C53" t="s">
        <v>314</v>
      </c>
      <c r="D53" t="s">
        <v>482</v>
      </c>
      <c r="E53">
        <v>34</v>
      </c>
      <c r="F53" t="s">
        <v>486</v>
      </c>
      <c r="G53" t="s">
        <v>488</v>
      </c>
      <c r="H53" t="s">
        <v>495</v>
      </c>
      <c r="I53">
        <v>4</v>
      </c>
      <c r="J53">
        <v>1904</v>
      </c>
      <c r="K53">
        <v>10</v>
      </c>
      <c r="L53">
        <v>9</v>
      </c>
      <c r="M53" s="6">
        <v>6854.4000000000005</v>
      </c>
    </row>
    <row r="54" spans="1:13" x14ac:dyDescent="0.3">
      <c r="A54" t="s">
        <v>65</v>
      </c>
      <c r="B54" s="4">
        <v>45344</v>
      </c>
      <c r="C54" t="s">
        <v>315</v>
      </c>
      <c r="D54" t="s">
        <v>482</v>
      </c>
      <c r="E54">
        <v>36</v>
      </c>
      <c r="F54" t="s">
        <v>485</v>
      </c>
      <c r="G54" t="s">
        <v>488</v>
      </c>
      <c r="H54" t="s">
        <v>493</v>
      </c>
      <c r="I54">
        <v>3</v>
      </c>
      <c r="J54">
        <v>562</v>
      </c>
      <c r="K54">
        <v>10</v>
      </c>
      <c r="L54">
        <v>8</v>
      </c>
      <c r="M54" s="6">
        <v>1517.4</v>
      </c>
    </row>
    <row r="55" spans="1:13" x14ac:dyDescent="0.3">
      <c r="A55" t="s">
        <v>66</v>
      </c>
      <c r="B55" s="4">
        <v>45345</v>
      </c>
      <c r="C55" t="s">
        <v>282</v>
      </c>
      <c r="D55" t="s">
        <v>481</v>
      </c>
      <c r="E55">
        <v>45</v>
      </c>
      <c r="F55" t="s">
        <v>485</v>
      </c>
      <c r="G55" t="s">
        <v>488</v>
      </c>
      <c r="H55" t="s">
        <v>494</v>
      </c>
      <c r="I55">
        <v>1</v>
      </c>
      <c r="J55">
        <v>2804</v>
      </c>
      <c r="K55">
        <v>0</v>
      </c>
      <c r="L55">
        <v>1</v>
      </c>
      <c r="M55" s="6">
        <v>2804</v>
      </c>
    </row>
    <row r="56" spans="1:13" x14ac:dyDescent="0.3">
      <c r="A56" t="s">
        <v>67</v>
      </c>
      <c r="B56" s="4">
        <v>45346</v>
      </c>
      <c r="C56" t="s">
        <v>316</v>
      </c>
      <c r="D56" t="s">
        <v>482</v>
      </c>
      <c r="E56">
        <v>43</v>
      </c>
      <c r="F56" t="s">
        <v>485</v>
      </c>
      <c r="G56" t="s">
        <v>489</v>
      </c>
      <c r="H56" t="s">
        <v>494</v>
      </c>
      <c r="I56">
        <v>3</v>
      </c>
      <c r="J56">
        <v>1916</v>
      </c>
      <c r="K56">
        <v>10</v>
      </c>
      <c r="L56">
        <v>6</v>
      </c>
      <c r="M56" s="6">
        <v>5173.2</v>
      </c>
    </row>
    <row r="57" spans="1:13" x14ac:dyDescent="0.3">
      <c r="A57" t="s">
        <v>68</v>
      </c>
      <c r="B57" s="4">
        <v>45347</v>
      </c>
      <c r="C57" t="s">
        <v>317</v>
      </c>
      <c r="D57" t="s">
        <v>481</v>
      </c>
      <c r="E57">
        <v>54</v>
      </c>
      <c r="F57" t="s">
        <v>486</v>
      </c>
      <c r="G57" t="s">
        <v>490</v>
      </c>
      <c r="H57" t="s">
        <v>495</v>
      </c>
      <c r="I57">
        <v>5</v>
      </c>
      <c r="J57">
        <v>4651</v>
      </c>
      <c r="K57">
        <v>0</v>
      </c>
      <c r="L57">
        <v>9</v>
      </c>
      <c r="M57" s="6">
        <v>23255</v>
      </c>
    </row>
    <row r="58" spans="1:13" x14ac:dyDescent="0.3">
      <c r="A58" t="s">
        <v>69</v>
      </c>
      <c r="B58" s="4">
        <v>45348</v>
      </c>
      <c r="C58" t="s">
        <v>318</v>
      </c>
      <c r="D58" t="s">
        <v>481</v>
      </c>
      <c r="E58">
        <v>43</v>
      </c>
      <c r="F58" t="s">
        <v>485</v>
      </c>
      <c r="G58" t="s">
        <v>491</v>
      </c>
      <c r="H58" t="s">
        <v>494</v>
      </c>
      <c r="I58">
        <v>4</v>
      </c>
      <c r="J58">
        <v>4486</v>
      </c>
      <c r="K58">
        <v>0</v>
      </c>
      <c r="L58">
        <v>7</v>
      </c>
      <c r="M58" s="6">
        <v>17944</v>
      </c>
    </row>
    <row r="59" spans="1:13" x14ac:dyDescent="0.3">
      <c r="A59" t="s">
        <v>70</v>
      </c>
      <c r="B59" s="4">
        <v>45349</v>
      </c>
      <c r="C59" t="s">
        <v>270</v>
      </c>
      <c r="D59" t="s">
        <v>482</v>
      </c>
      <c r="E59">
        <v>40</v>
      </c>
      <c r="F59" t="s">
        <v>485</v>
      </c>
      <c r="G59" t="s">
        <v>491</v>
      </c>
      <c r="H59" t="s">
        <v>492</v>
      </c>
      <c r="I59">
        <v>3</v>
      </c>
      <c r="J59">
        <v>3938</v>
      </c>
      <c r="K59">
        <v>0</v>
      </c>
      <c r="L59">
        <v>4</v>
      </c>
      <c r="M59" s="6">
        <v>11814</v>
      </c>
    </row>
    <row r="60" spans="1:13" x14ac:dyDescent="0.3">
      <c r="A60" t="s">
        <v>71</v>
      </c>
      <c r="B60" s="4">
        <v>45350</v>
      </c>
      <c r="C60" t="s">
        <v>319</v>
      </c>
      <c r="D60" t="s">
        <v>482</v>
      </c>
      <c r="E60">
        <v>26</v>
      </c>
      <c r="F60" t="s">
        <v>485</v>
      </c>
      <c r="G60" t="s">
        <v>488</v>
      </c>
      <c r="H60" t="s">
        <v>492</v>
      </c>
      <c r="I60">
        <v>2</v>
      </c>
      <c r="J60">
        <v>2669</v>
      </c>
      <c r="K60">
        <v>0</v>
      </c>
      <c r="L60">
        <v>1</v>
      </c>
      <c r="M60" s="6">
        <v>5338</v>
      </c>
    </row>
    <row r="61" spans="1:13" x14ac:dyDescent="0.3">
      <c r="A61" t="s">
        <v>72</v>
      </c>
      <c r="B61" s="4">
        <v>45351</v>
      </c>
      <c r="C61" t="s">
        <v>320</v>
      </c>
      <c r="D61" t="s">
        <v>481</v>
      </c>
      <c r="E61">
        <v>29</v>
      </c>
      <c r="F61" t="s">
        <v>483</v>
      </c>
      <c r="G61" t="s">
        <v>488</v>
      </c>
      <c r="H61" t="s">
        <v>493</v>
      </c>
      <c r="I61">
        <v>5</v>
      </c>
      <c r="J61">
        <v>4995</v>
      </c>
      <c r="K61">
        <v>0</v>
      </c>
      <c r="L61">
        <v>2</v>
      </c>
      <c r="M61" s="6">
        <v>24975</v>
      </c>
    </row>
    <row r="62" spans="1:13" x14ac:dyDescent="0.3">
      <c r="A62" t="s">
        <v>73</v>
      </c>
      <c r="B62" s="4">
        <v>45352</v>
      </c>
      <c r="C62" t="s">
        <v>321</v>
      </c>
      <c r="D62" t="s">
        <v>481</v>
      </c>
      <c r="E62">
        <v>18</v>
      </c>
      <c r="F62" t="s">
        <v>485</v>
      </c>
      <c r="G62" t="s">
        <v>487</v>
      </c>
      <c r="H62" t="s">
        <v>494</v>
      </c>
      <c r="I62">
        <v>5</v>
      </c>
      <c r="J62">
        <v>756</v>
      </c>
      <c r="K62">
        <v>15</v>
      </c>
      <c r="L62">
        <v>5</v>
      </c>
      <c r="M62" s="6">
        <v>3213</v>
      </c>
    </row>
    <row r="63" spans="1:13" x14ac:dyDescent="0.3">
      <c r="A63" t="s">
        <v>74</v>
      </c>
      <c r="B63" s="4">
        <v>45353</v>
      </c>
      <c r="C63" t="s">
        <v>322</v>
      </c>
      <c r="D63" t="s">
        <v>482</v>
      </c>
      <c r="E63">
        <v>18</v>
      </c>
      <c r="F63" t="s">
        <v>486</v>
      </c>
      <c r="G63" t="s">
        <v>490</v>
      </c>
      <c r="H63" t="s">
        <v>495</v>
      </c>
      <c r="I63">
        <v>3</v>
      </c>
      <c r="J63">
        <v>1025</v>
      </c>
      <c r="K63">
        <v>5</v>
      </c>
      <c r="L63">
        <v>5</v>
      </c>
      <c r="M63" s="6">
        <v>2921.25</v>
      </c>
    </row>
    <row r="64" spans="1:13" x14ac:dyDescent="0.3">
      <c r="A64" t="s">
        <v>75</v>
      </c>
      <c r="B64" s="4">
        <v>45354</v>
      </c>
      <c r="C64" t="s">
        <v>323</v>
      </c>
      <c r="D64" t="s">
        <v>481</v>
      </c>
      <c r="E64">
        <v>51</v>
      </c>
      <c r="F64" t="s">
        <v>485</v>
      </c>
      <c r="G64" t="s">
        <v>489</v>
      </c>
      <c r="H64" t="s">
        <v>492</v>
      </c>
      <c r="I64">
        <v>3</v>
      </c>
      <c r="J64">
        <v>3008</v>
      </c>
      <c r="K64">
        <v>0</v>
      </c>
      <c r="L64">
        <v>8</v>
      </c>
      <c r="M64" s="6">
        <v>9024</v>
      </c>
    </row>
    <row r="65" spans="1:13" x14ac:dyDescent="0.3">
      <c r="A65" t="s">
        <v>76</v>
      </c>
      <c r="B65" s="4">
        <v>45355</v>
      </c>
      <c r="C65" t="s">
        <v>324</v>
      </c>
      <c r="D65" t="s">
        <v>482</v>
      </c>
      <c r="E65">
        <v>49</v>
      </c>
      <c r="F65" t="s">
        <v>485</v>
      </c>
      <c r="G65" t="s">
        <v>491</v>
      </c>
      <c r="H65" t="s">
        <v>495</v>
      </c>
      <c r="I65">
        <v>4</v>
      </c>
      <c r="J65">
        <v>4721</v>
      </c>
      <c r="K65">
        <v>15</v>
      </c>
      <c r="L65">
        <v>6</v>
      </c>
      <c r="M65" s="6">
        <v>16051.4</v>
      </c>
    </row>
    <row r="66" spans="1:13" x14ac:dyDescent="0.3">
      <c r="A66" t="s">
        <v>77</v>
      </c>
      <c r="B66" s="4">
        <v>45356</v>
      </c>
      <c r="C66" t="s">
        <v>325</v>
      </c>
      <c r="D66" t="s">
        <v>481</v>
      </c>
      <c r="E66">
        <v>42</v>
      </c>
      <c r="F66" t="s">
        <v>486</v>
      </c>
      <c r="G66" t="s">
        <v>487</v>
      </c>
      <c r="H66" t="s">
        <v>495</v>
      </c>
      <c r="I66">
        <v>1</v>
      </c>
      <c r="J66">
        <v>2919</v>
      </c>
      <c r="K66">
        <v>5</v>
      </c>
      <c r="L66">
        <v>8</v>
      </c>
      <c r="M66" s="6">
        <v>2773.05</v>
      </c>
    </row>
    <row r="67" spans="1:13" x14ac:dyDescent="0.3">
      <c r="A67" t="s">
        <v>78</v>
      </c>
      <c r="B67" s="4">
        <v>45357</v>
      </c>
      <c r="C67" t="s">
        <v>326</v>
      </c>
      <c r="D67" t="s">
        <v>482</v>
      </c>
      <c r="E67">
        <v>57</v>
      </c>
      <c r="F67" t="s">
        <v>485</v>
      </c>
      <c r="G67" t="s">
        <v>487</v>
      </c>
      <c r="H67" t="s">
        <v>492</v>
      </c>
      <c r="I67">
        <v>3</v>
      </c>
      <c r="J67">
        <v>3708</v>
      </c>
      <c r="K67">
        <v>5</v>
      </c>
      <c r="L67">
        <v>2</v>
      </c>
      <c r="M67" s="6">
        <v>10567.8</v>
      </c>
    </row>
    <row r="68" spans="1:13" x14ac:dyDescent="0.3">
      <c r="A68" t="s">
        <v>79</v>
      </c>
      <c r="B68" s="4">
        <v>45358</v>
      </c>
      <c r="C68" t="s">
        <v>327</v>
      </c>
      <c r="D68" t="s">
        <v>482</v>
      </c>
      <c r="E68">
        <v>18</v>
      </c>
      <c r="F68" t="s">
        <v>486</v>
      </c>
      <c r="G68" t="s">
        <v>491</v>
      </c>
      <c r="H68" t="s">
        <v>495</v>
      </c>
      <c r="I68">
        <v>3</v>
      </c>
      <c r="J68">
        <v>3941</v>
      </c>
      <c r="K68">
        <v>0</v>
      </c>
      <c r="L68">
        <v>3</v>
      </c>
      <c r="M68" s="6">
        <v>11823</v>
      </c>
    </row>
    <row r="69" spans="1:13" x14ac:dyDescent="0.3">
      <c r="A69" t="s">
        <v>80</v>
      </c>
      <c r="B69" s="4">
        <v>45359</v>
      </c>
      <c r="C69" t="s">
        <v>328</v>
      </c>
      <c r="D69" t="s">
        <v>482</v>
      </c>
      <c r="E69">
        <v>33</v>
      </c>
      <c r="F69" t="s">
        <v>485</v>
      </c>
      <c r="G69" t="s">
        <v>489</v>
      </c>
      <c r="H69" t="s">
        <v>492</v>
      </c>
      <c r="I69">
        <v>2</v>
      </c>
      <c r="J69">
        <v>1774</v>
      </c>
      <c r="K69">
        <v>5</v>
      </c>
      <c r="L69">
        <v>6</v>
      </c>
      <c r="M69" s="6">
        <v>3370.6</v>
      </c>
    </row>
    <row r="70" spans="1:13" x14ac:dyDescent="0.3">
      <c r="A70" t="s">
        <v>81</v>
      </c>
      <c r="B70" s="4">
        <v>45360</v>
      </c>
      <c r="C70" t="s">
        <v>329</v>
      </c>
      <c r="D70" t="s">
        <v>481</v>
      </c>
      <c r="E70">
        <v>56</v>
      </c>
      <c r="F70" t="s">
        <v>486</v>
      </c>
      <c r="G70" t="s">
        <v>487</v>
      </c>
      <c r="H70" t="s">
        <v>495</v>
      </c>
      <c r="I70">
        <v>5</v>
      </c>
      <c r="J70">
        <v>4198</v>
      </c>
      <c r="K70">
        <v>0</v>
      </c>
      <c r="L70">
        <v>3</v>
      </c>
      <c r="M70" s="6">
        <v>20990</v>
      </c>
    </row>
    <row r="71" spans="1:13" x14ac:dyDescent="0.3">
      <c r="A71" t="s">
        <v>82</v>
      </c>
      <c r="B71" s="4">
        <v>45361</v>
      </c>
      <c r="C71" t="s">
        <v>330</v>
      </c>
      <c r="D71" t="s">
        <v>481</v>
      </c>
      <c r="E71">
        <v>22</v>
      </c>
      <c r="F71" t="s">
        <v>485</v>
      </c>
      <c r="G71" t="s">
        <v>487</v>
      </c>
      <c r="H71" t="s">
        <v>492</v>
      </c>
      <c r="I71">
        <v>1</v>
      </c>
      <c r="J71">
        <v>2329</v>
      </c>
      <c r="K71">
        <v>0</v>
      </c>
      <c r="L71">
        <v>6</v>
      </c>
      <c r="M71" s="6">
        <v>2329</v>
      </c>
    </row>
    <row r="72" spans="1:13" x14ac:dyDescent="0.3">
      <c r="A72" t="s">
        <v>83</v>
      </c>
      <c r="B72" s="4">
        <v>45362</v>
      </c>
      <c r="C72" t="s">
        <v>331</v>
      </c>
      <c r="D72" t="s">
        <v>482</v>
      </c>
      <c r="E72">
        <v>39</v>
      </c>
      <c r="F72" t="s">
        <v>485</v>
      </c>
      <c r="G72" t="s">
        <v>490</v>
      </c>
      <c r="H72" t="s">
        <v>494</v>
      </c>
      <c r="I72">
        <v>2</v>
      </c>
      <c r="J72">
        <v>2603</v>
      </c>
      <c r="K72">
        <v>0</v>
      </c>
      <c r="L72">
        <v>6</v>
      </c>
      <c r="M72" s="6">
        <v>5206</v>
      </c>
    </row>
    <row r="73" spans="1:13" x14ac:dyDescent="0.3">
      <c r="A73" t="s">
        <v>84</v>
      </c>
      <c r="B73" s="4">
        <v>45363</v>
      </c>
      <c r="C73" t="s">
        <v>332</v>
      </c>
      <c r="D73" t="s">
        <v>481</v>
      </c>
      <c r="E73">
        <v>46</v>
      </c>
      <c r="F73" t="s">
        <v>483</v>
      </c>
      <c r="G73" t="s">
        <v>489</v>
      </c>
      <c r="H73" t="s">
        <v>493</v>
      </c>
      <c r="I73">
        <v>4</v>
      </c>
      <c r="J73">
        <v>3529</v>
      </c>
      <c r="K73">
        <v>0</v>
      </c>
      <c r="L73">
        <v>2</v>
      </c>
      <c r="M73" s="6">
        <v>14116</v>
      </c>
    </row>
    <row r="74" spans="1:13" x14ac:dyDescent="0.3">
      <c r="A74" t="s">
        <v>85</v>
      </c>
      <c r="B74" s="4">
        <v>45364</v>
      </c>
      <c r="C74" t="s">
        <v>333</v>
      </c>
      <c r="D74" t="s">
        <v>482</v>
      </c>
      <c r="E74">
        <v>20</v>
      </c>
      <c r="F74" t="s">
        <v>483</v>
      </c>
      <c r="G74" t="s">
        <v>487</v>
      </c>
      <c r="H74" t="s">
        <v>492</v>
      </c>
      <c r="I74">
        <v>4</v>
      </c>
      <c r="J74">
        <v>788</v>
      </c>
      <c r="K74">
        <v>10</v>
      </c>
      <c r="L74">
        <v>7</v>
      </c>
      <c r="M74" s="6">
        <v>2836.8</v>
      </c>
    </row>
    <row r="75" spans="1:13" x14ac:dyDescent="0.3">
      <c r="A75" t="s">
        <v>86</v>
      </c>
      <c r="B75" s="4">
        <v>45365</v>
      </c>
      <c r="C75" t="s">
        <v>334</v>
      </c>
      <c r="D75" t="s">
        <v>482</v>
      </c>
      <c r="E75">
        <v>29</v>
      </c>
      <c r="F75" t="s">
        <v>485</v>
      </c>
      <c r="G75" t="s">
        <v>489</v>
      </c>
      <c r="H75" t="s">
        <v>492</v>
      </c>
      <c r="I75">
        <v>3</v>
      </c>
      <c r="J75">
        <v>2212</v>
      </c>
      <c r="K75">
        <v>0</v>
      </c>
      <c r="L75">
        <v>2</v>
      </c>
      <c r="M75" s="6">
        <v>6636</v>
      </c>
    </row>
    <row r="76" spans="1:13" x14ac:dyDescent="0.3">
      <c r="A76" t="s">
        <v>87</v>
      </c>
      <c r="B76" s="4">
        <v>45366</v>
      </c>
      <c r="C76" t="s">
        <v>335</v>
      </c>
      <c r="D76" t="s">
        <v>481</v>
      </c>
      <c r="E76">
        <v>43</v>
      </c>
      <c r="F76" t="s">
        <v>485</v>
      </c>
      <c r="G76" t="s">
        <v>491</v>
      </c>
      <c r="H76" t="s">
        <v>493</v>
      </c>
      <c r="I76">
        <v>3</v>
      </c>
      <c r="J76">
        <v>1747</v>
      </c>
      <c r="K76">
        <v>10</v>
      </c>
      <c r="L76">
        <v>6</v>
      </c>
      <c r="M76" s="6">
        <v>4716.9000000000005</v>
      </c>
    </row>
    <row r="77" spans="1:13" x14ac:dyDescent="0.3">
      <c r="A77" t="s">
        <v>88</v>
      </c>
      <c r="B77" s="4">
        <v>45367</v>
      </c>
      <c r="C77" t="s">
        <v>336</v>
      </c>
      <c r="D77" t="s">
        <v>481</v>
      </c>
      <c r="E77">
        <v>33</v>
      </c>
      <c r="F77" t="s">
        <v>484</v>
      </c>
      <c r="G77" t="s">
        <v>488</v>
      </c>
      <c r="H77" t="s">
        <v>492</v>
      </c>
      <c r="I77">
        <v>4</v>
      </c>
      <c r="J77">
        <v>494</v>
      </c>
      <c r="K77">
        <v>0</v>
      </c>
      <c r="L77">
        <v>1</v>
      </c>
      <c r="M77" s="6">
        <v>1976</v>
      </c>
    </row>
    <row r="78" spans="1:13" x14ac:dyDescent="0.3">
      <c r="A78" t="s">
        <v>89</v>
      </c>
      <c r="B78" s="4">
        <v>45368</v>
      </c>
      <c r="C78" t="s">
        <v>337</v>
      </c>
      <c r="D78" t="s">
        <v>482</v>
      </c>
      <c r="E78">
        <v>54</v>
      </c>
      <c r="F78" t="s">
        <v>486</v>
      </c>
      <c r="G78" t="s">
        <v>487</v>
      </c>
      <c r="H78" t="s">
        <v>492</v>
      </c>
      <c r="I78">
        <v>3</v>
      </c>
      <c r="J78">
        <v>2185</v>
      </c>
      <c r="K78">
        <v>0</v>
      </c>
      <c r="L78">
        <v>3</v>
      </c>
      <c r="M78" s="6">
        <v>6555</v>
      </c>
    </row>
    <row r="79" spans="1:13" x14ac:dyDescent="0.3">
      <c r="A79" t="s">
        <v>90</v>
      </c>
      <c r="B79" s="4">
        <v>45369</v>
      </c>
      <c r="C79" t="s">
        <v>338</v>
      </c>
      <c r="D79" t="s">
        <v>481</v>
      </c>
      <c r="E79">
        <v>39</v>
      </c>
      <c r="F79" t="s">
        <v>484</v>
      </c>
      <c r="G79" t="s">
        <v>490</v>
      </c>
      <c r="H79" t="s">
        <v>495</v>
      </c>
      <c r="I79">
        <v>1</v>
      </c>
      <c r="J79">
        <v>3317</v>
      </c>
      <c r="K79">
        <v>5</v>
      </c>
      <c r="L79">
        <v>2</v>
      </c>
      <c r="M79" s="6">
        <v>3151.15</v>
      </c>
    </row>
    <row r="80" spans="1:13" x14ac:dyDescent="0.3">
      <c r="A80" t="s">
        <v>91</v>
      </c>
      <c r="B80" s="4">
        <v>45370</v>
      </c>
      <c r="C80" t="s">
        <v>339</v>
      </c>
      <c r="D80" t="s">
        <v>481</v>
      </c>
      <c r="E80">
        <v>46</v>
      </c>
      <c r="F80" t="s">
        <v>483</v>
      </c>
      <c r="G80" t="s">
        <v>491</v>
      </c>
      <c r="H80" t="s">
        <v>493</v>
      </c>
      <c r="I80">
        <v>3</v>
      </c>
      <c r="J80">
        <v>1890</v>
      </c>
      <c r="K80">
        <v>0</v>
      </c>
      <c r="L80">
        <v>7</v>
      </c>
      <c r="M80" s="6">
        <v>5670</v>
      </c>
    </row>
    <row r="81" spans="1:13" x14ac:dyDescent="0.3">
      <c r="A81" t="s">
        <v>92</v>
      </c>
      <c r="B81" s="4">
        <v>45371</v>
      </c>
      <c r="C81" t="s">
        <v>340</v>
      </c>
      <c r="D81" t="s">
        <v>482</v>
      </c>
      <c r="E81">
        <v>31</v>
      </c>
      <c r="F81" t="s">
        <v>483</v>
      </c>
      <c r="G81" t="s">
        <v>489</v>
      </c>
      <c r="H81" t="s">
        <v>494</v>
      </c>
      <c r="I81">
        <v>5</v>
      </c>
      <c r="J81">
        <v>1336</v>
      </c>
      <c r="K81">
        <v>0</v>
      </c>
      <c r="L81">
        <v>4</v>
      </c>
      <c r="M81" s="6">
        <v>6680</v>
      </c>
    </row>
    <row r="82" spans="1:13" x14ac:dyDescent="0.3">
      <c r="A82" t="s">
        <v>93</v>
      </c>
      <c r="B82" s="4">
        <v>45372</v>
      </c>
      <c r="C82" t="s">
        <v>341</v>
      </c>
      <c r="D82" t="s">
        <v>482</v>
      </c>
      <c r="E82">
        <v>45</v>
      </c>
      <c r="F82" t="s">
        <v>483</v>
      </c>
      <c r="G82" t="s">
        <v>491</v>
      </c>
      <c r="H82" t="s">
        <v>492</v>
      </c>
      <c r="I82">
        <v>3</v>
      </c>
      <c r="J82">
        <v>2264</v>
      </c>
      <c r="K82">
        <v>0</v>
      </c>
      <c r="L82">
        <v>8</v>
      </c>
      <c r="M82" s="6">
        <v>6792</v>
      </c>
    </row>
    <row r="83" spans="1:13" x14ac:dyDescent="0.3">
      <c r="A83" t="s">
        <v>94</v>
      </c>
      <c r="B83" s="4">
        <v>45373</v>
      </c>
      <c r="C83" t="s">
        <v>280</v>
      </c>
      <c r="D83" t="s">
        <v>481</v>
      </c>
      <c r="E83">
        <v>22</v>
      </c>
      <c r="F83" t="s">
        <v>483</v>
      </c>
      <c r="G83" t="s">
        <v>487</v>
      </c>
      <c r="H83" t="s">
        <v>493</v>
      </c>
      <c r="I83">
        <v>2</v>
      </c>
      <c r="J83">
        <v>4655</v>
      </c>
      <c r="K83">
        <v>5</v>
      </c>
      <c r="L83">
        <v>6</v>
      </c>
      <c r="M83" s="6">
        <v>8844.5</v>
      </c>
    </row>
    <row r="84" spans="1:13" x14ac:dyDescent="0.3">
      <c r="A84" t="s">
        <v>95</v>
      </c>
      <c r="B84" s="4">
        <v>45374</v>
      </c>
      <c r="C84" t="s">
        <v>322</v>
      </c>
      <c r="D84" t="s">
        <v>482</v>
      </c>
      <c r="E84">
        <v>47</v>
      </c>
      <c r="F84" t="s">
        <v>485</v>
      </c>
      <c r="G84" t="s">
        <v>489</v>
      </c>
      <c r="H84" t="s">
        <v>495</v>
      </c>
      <c r="I84">
        <v>1</v>
      </c>
      <c r="J84">
        <v>4995</v>
      </c>
      <c r="K84">
        <v>0</v>
      </c>
      <c r="L84">
        <v>4</v>
      </c>
      <c r="M84" s="6">
        <v>4995</v>
      </c>
    </row>
    <row r="85" spans="1:13" x14ac:dyDescent="0.3">
      <c r="A85" t="s">
        <v>96</v>
      </c>
      <c r="B85" s="4">
        <v>45375</v>
      </c>
      <c r="C85" t="s">
        <v>342</v>
      </c>
      <c r="D85" t="s">
        <v>482</v>
      </c>
      <c r="E85">
        <v>22</v>
      </c>
      <c r="F85" t="s">
        <v>483</v>
      </c>
      <c r="G85" t="s">
        <v>488</v>
      </c>
      <c r="H85" t="s">
        <v>494</v>
      </c>
      <c r="I85">
        <v>2</v>
      </c>
      <c r="J85">
        <v>4743</v>
      </c>
      <c r="K85">
        <v>15</v>
      </c>
      <c r="L85">
        <v>5</v>
      </c>
      <c r="M85" s="6">
        <v>8063.0999999999995</v>
      </c>
    </row>
    <row r="86" spans="1:13" x14ac:dyDescent="0.3">
      <c r="A86" t="s">
        <v>97</v>
      </c>
      <c r="B86" s="4">
        <v>45376</v>
      </c>
      <c r="C86" t="s">
        <v>343</v>
      </c>
      <c r="D86" t="s">
        <v>481</v>
      </c>
      <c r="E86">
        <v>29</v>
      </c>
      <c r="F86" t="s">
        <v>485</v>
      </c>
      <c r="G86" t="s">
        <v>491</v>
      </c>
      <c r="H86" t="s">
        <v>493</v>
      </c>
      <c r="I86">
        <v>2</v>
      </c>
      <c r="J86">
        <v>4970</v>
      </c>
      <c r="K86">
        <v>5</v>
      </c>
      <c r="L86">
        <v>9</v>
      </c>
      <c r="M86" s="6">
        <v>9443</v>
      </c>
    </row>
    <row r="87" spans="1:13" x14ac:dyDescent="0.3">
      <c r="A87" t="s">
        <v>98</v>
      </c>
      <c r="B87" s="4">
        <v>45377</v>
      </c>
      <c r="C87" t="s">
        <v>344</v>
      </c>
      <c r="D87" t="s">
        <v>482</v>
      </c>
      <c r="E87">
        <v>33</v>
      </c>
      <c r="F87" t="s">
        <v>485</v>
      </c>
      <c r="G87" t="s">
        <v>487</v>
      </c>
      <c r="H87" t="s">
        <v>494</v>
      </c>
      <c r="I87">
        <v>5</v>
      </c>
      <c r="J87">
        <v>1207</v>
      </c>
      <c r="K87">
        <v>0</v>
      </c>
      <c r="L87">
        <v>7</v>
      </c>
      <c r="M87" s="6">
        <v>6035</v>
      </c>
    </row>
    <row r="88" spans="1:13" x14ac:dyDescent="0.3">
      <c r="A88" t="s">
        <v>99</v>
      </c>
      <c r="B88" s="4">
        <v>45378</v>
      </c>
      <c r="C88" t="s">
        <v>345</v>
      </c>
      <c r="D88" t="s">
        <v>482</v>
      </c>
      <c r="E88">
        <v>43</v>
      </c>
      <c r="F88" t="s">
        <v>483</v>
      </c>
      <c r="G88" t="s">
        <v>490</v>
      </c>
      <c r="H88" t="s">
        <v>494</v>
      </c>
      <c r="I88">
        <v>1</v>
      </c>
      <c r="J88">
        <v>2714</v>
      </c>
      <c r="K88">
        <v>10</v>
      </c>
      <c r="L88">
        <v>9</v>
      </c>
      <c r="M88" s="6">
        <v>2442.6</v>
      </c>
    </row>
    <row r="89" spans="1:13" x14ac:dyDescent="0.3">
      <c r="A89" t="s">
        <v>100</v>
      </c>
      <c r="B89" s="4">
        <v>45379</v>
      </c>
      <c r="C89" t="s">
        <v>346</v>
      </c>
      <c r="D89" t="s">
        <v>481</v>
      </c>
      <c r="E89">
        <v>43</v>
      </c>
      <c r="F89" t="s">
        <v>483</v>
      </c>
      <c r="G89" t="s">
        <v>489</v>
      </c>
      <c r="H89" t="s">
        <v>494</v>
      </c>
      <c r="I89">
        <v>1</v>
      </c>
      <c r="J89">
        <v>3726</v>
      </c>
      <c r="K89">
        <v>10</v>
      </c>
      <c r="L89">
        <v>7</v>
      </c>
      <c r="M89" s="6">
        <v>3353.4</v>
      </c>
    </row>
    <row r="90" spans="1:13" x14ac:dyDescent="0.3">
      <c r="A90" t="s">
        <v>101</v>
      </c>
      <c r="B90" s="4">
        <v>45380</v>
      </c>
      <c r="C90" t="s">
        <v>347</v>
      </c>
      <c r="D90" t="s">
        <v>481</v>
      </c>
      <c r="E90">
        <v>38</v>
      </c>
      <c r="F90" t="s">
        <v>486</v>
      </c>
      <c r="G90" t="s">
        <v>491</v>
      </c>
      <c r="H90" t="s">
        <v>492</v>
      </c>
      <c r="I90">
        <v>1</v>
      </c>
      <c r="J90">
        <v>4881</v>
      </c>
      <c r="K90">
        <v>0</v>
      </c>
      <c r="L90">
        <v>1</v>
      </c>
      <c r="M90" s="6">
        <v>4881</v>
      </c>
    </row>
    <row r="91" spans="1:13" x14ac:dyDescent="0.3">
      <c r="A91" t="s">
        <v>102</v>
      </c>
      <c r="B91" s="4">
        <v>45381</v>
      </c>
      <c r="C91" t="s">
        <v>348</v>
      </c>
      <c r="D91" t="s">
        <v>482</v>
      </c>
      <c r="E91">
        <v>56</v>
      </c>
      <c r="F91" t="s">
        <v>484</v>
      </c>
      <c r="G91" t="s">
        <v>491</v>
      </c>
      <c r="H91" t="s">
        <v>492</v>
      </c>
      <c r="I91">
        <v>1</v>
      </c>
      <c r="J91">
        <v>1447</v>
      </c>
      <c r="K91">
        <v>0</v>
      </c>
      <c r="L91">
        <v>8</v>
      </c>
      <c r="M91" s="6">
        <v>1447</v>
      </c>
    </row>
    <row r="92" spans="1:13" x14ac:dyDescent="0.3">
      <c r="A92" t="s">
        <v>103</v>
      </c>
      <c r="B92" s="4">
        <v>45382</v>
      </c>
      <c r="C92" t="s">
        <v>349</v>
      </c>
      <c r="D92" t="s">
        <v>482</v>
      </c>
      <c r="E92">
        <v>53</v>
      </c>
      <c r="F92" t="s">
        <v>483</v>
      </c>
      <c r="G92" t="s">
        <v>488</v>
      </c>
      <c r="H92" t="s">
        <v>495</v>
      </c>
      <c r="I92">
        <v>1</v>
      </c>
      <c r="J92">
        <v>4102</v>
      </c>
      <c r="K92">
        <v>0</v>
      </c>
      <c r="L92">
        <v>4</v>
      </c>
      <c r="M92" s="6">
        <v>4102</v>
      </c>
    </row>
    <row r="93" spans="1:13" x14ac:dyDescent="0.3">
      <c r="A93" t="s">
        <v>104</v>
      </c>
      <c r="B93" s="4">
        <v>45383</v>
      </c>
      <c r="C93" t="s">
        <v>350</v>
      </c>
      <c r="D93" t="s">
        <v>481</v>
      </c>
      <c r="E93">
        <v>50</v>
      </c>
      <c r="F93" t="s">
        <v>486</v>
      </c>
      <c r="G93" t="s">
        <v>488</v>
      </c>
      <c r="H93" t="s">
        <v>495</v>
      </c>
      <c r="I93">
        <v>5</v>
      </c>
      <c r="J93">
        <v>1635</v>
      </c>
      <c r="K93">
        <v>10</v>
      </c>
      <c r="L93">
        <v>3</v>
      </c>
      <c r="M93" s="6">
        <v>7357.5</v>
      </c>
    </row>
    <row r="94" spans="1:13" x14ac:dyDescent="0.3">
      <c r="A94" t="s">
        <v>105</v>
      </c>
      <c r="B94" s="4">
        <v>45384</v>
      </c>
      <c r="C94" t="s">
        <v>351</v>
      </c>
      <c r="D94" t="s">
        <v>481</v>
      </c>
      <c r="E94">
        <v>47</v>
      </c>
      <c r="F94" t="s">
        <v>486</v>
      </c>
      <c r="G94" t="s">
        <v>490</v>
      </c>
      <c r="H94" t="s">
        <v>493</v>
      </c>
      <c r="I94">
        <v>3</v>
      </c>
      <c r="J94">
        <v>771</v>
      </c>
      <c r="K94">
        <v>10</v>
      </c>
      <c r="L94">
        <v>7</v>
      </c>
      <c r="M94" s="6">
        <v>2081.6999999999998</v>
      </c>
    </row>
    <row r="95" spans="1:13" x14ac:dyDescent="0.3">
      <c r="A95" t="s">
        <v>106</v>
      </c>
      <c r="B95" s="4">
        <v>45385</v>
      </c>
      <c r="C95" t="s">
        <v>352</v>
      </c>
      <c r="D95" t="s">
        <v>481</v>
      </c>
      <c r="E95">
        <v>54</v>
      </c>
      <c r="F95" t="s">
        <v>484</v>
      </c>
      <c r="G95" t="s">
        <v>490</v>
      </c>
      <c r="H95" t="s">
        <v>495</v>
      </c>
      <c r="I95">
        <v>2</v>
      </c>
      <c r="J95">
        <v>2582</v>
      </c>
      <c r="K95">
        <v>5</v>
      </c>
      <c r="L95">
        <v>3</v>
      </c>
      <c r="M95" s="6">
        <v>4905.8</v>
      </c>
    </row>
    <row r="96" spans="1:13" x14ac:dyDescent="0.3">
      <c r="A96" t="s">
        <v>107</v>
      </c>
      <c r="B96" s="4">
        <v>45386</v>
      </c>
      <c r="C96" t="s">
        <v>353</v>
      </c>
      <c r="D96" t="s">
        <v>481</v>
      </c>
      <c r="E96">
        <v>40</v>
      </c>
      <c r="F96" t="s">
        <v>485</v>
      </c>
      <c r="G96" t="s">
        <v>487</v>
      </c>
      <c r="H96" t="s">
        <v>494</v>
      </c>
      <c r="I96">
        <v>1</v>
      </c>
      <c r="J96">
        <v>1445</v>
      </c>
      <c r="K96">
        <v>15</v>
      </c>
      <c r="L96">
        <v>8</v>
      </c>
      <c r="M96" s="6">
        <v>1228.25</v>
      </c>
    </row>
    <row r="97" spans="1:13" x14ac:dyDescent="0.3">
      <c r="A97" t="s">
        <v>108</v>
      </c>
      <c r="B97" s="4">
        <v>45387</v>
      </c>
      <c r="C97" t="s">
        <v>354</v>
      </c>
      <c r="D97" t="s">
        <v>482</v>
      </c>
      <c r="E97">
        <v>27</v>
      </c>
      <c r="F97" t="s">
        <v>483</v>
      </c>
      <c r="G97" t="s">
        <v>487</v>
      </c>
      <c r="H97" t="s">
        <v>494</v>
      </c>
      <c r="I97">
        <v>3</v>
      </c>
      <c r="J97">
        <v>2284</v>
      </c>
      <c r="K97">
        <v>15</v>
      </c>
      <c r="L97">
        <v>6</v>
      </c>
      <c r="M97" s="6">
        <v>5824.2</v>
      </c>
    </row>
    <row r="98" spans="1:13" x14ac:dyDescent="0.3">
      <c r="A98" t="s">
        <v>109</v>
      </c>
      <c r="B98" s="4">
        <v>45388</v>
      </c>
      <c r="C98" t="s">
        <v>355</v>
      </c>
      <c r="D98" t="s">
        <v>481</v>
      </c>
      <c r="E98">
        <v>22</v>
      </c>
      <c r="F98" t="s">
        <v>484</v>
      </c>
      <c r="G98" t="s">
        <v>490</v>
      </c>
      <c r="H98" t="s">
        <v>492</v>
      </c>
      <c r="I98">
        <v>3</v>
      </c>
      <c r="J98">
        <v>477</v>
      </c>
      <c r="K98">
        <v>5</v>
      </c>
      <c r="L98">
        <v>5</v>
      </c>
      <c r="M98" s="6">
        <v>1359.45</v>
      </c>
    </row>
    <row r="99" spans="1:13" x14ac:dyDescent="0.3">
      <c r="A99" t="s">
        <v>110</v>
      </c>
      <c r="B99" s="4">
        <v>45389</v>
      </c>
      <c r="C99" t="s">
        <v>356</v>
      </c>
      <c r="D99" t="s">
        <v>481</v>
      </c>
      <c r="E99">
        <v>53</v>
      </c>
      <c r="F99" t="s">
        <v>483</v>
      </c>
      <c r="G99" t="s">
        <v>490</v>
      </c>
      <c r="H99" t="s">
        <v>494</v>
      </c>
      <c r="I99">
        <v>2</v>
      </c>
      <c r="J99">
        <v>2087</v>
      </c>
      <c r="K99">
        <v>15</v>
      </c>
      <c r="L99">
        <v>4</v>
      </c>
      <c r="M99" s="6">
        <v>3547.9</v>
      </c>
    </row>
    <row r="100" spans="1:13" x14ac:dyDescent="0.3">
      <c r="A100" t="s">
        <v>111</v>
      </c>
      <c r="B100" s="4">
        <v>45390</v>
      </c>
      <c r="C100" t="s">
        <v>357</v>
      </c>
      <c r="D100" t="s">
        <v>482</v>
      </c>
      <c r="E100">
        <v>51</v>
      </c>
      <c r="F100" t="s">
        <v>486</v>
      </c>
      <c r="G100" t="s">
        <v>489</v>
      </c>
      <c r="H100" t="s">
        <v>493</v>
      </c>
      <c r="I100">
        <v>5</v>
      </c>
      <c r="J100">
        <v>4779</v>
      </c>
      <c r="K100">
        <v>0</v>
      </c>
      <c r="L100">
        <v>8</v>
      </c>
      <c r="M100" s="6">
        <v>23895</v>
      </c>
    </row>
    <row r="101" spans="1:13" x14ac:dyDescent="0.3">
      <c r="A101" t="s">
        <v>112</v>
      </c>
      <c r="B101" s="4">
        <v>45391</v>
      </c>
      <c r="C101" t="s">
        <v>266</v>
      </c>
      <c r="D101" t="s">
        <v>481</v>
      </c>
      <c r="E101">
        <v>48</v>
      </c>
      <c r="F101" t="s">
        <v>486</v>
      </c>
      <c r="G101" t="s">
        <v>488</v>
      </c>
      <c r="H101" t="s">
        <v>494</v>
      </c>
      <c r="I101">
        <v>4</v>
      </c>
      <c r="J101">
        <v>1465</v>
      </c>
      <c r="K101">
        <v>0</v>
      </c>
      <c r="L101">
        <v>8</v>
      </c>
      <c r="M101" s="6">
        <v>5860</v>
      </c>
    </row>
    <row r="102" spans="1:13" x14ac:dyDescent="0.3">
      <c r="A102" t="s">
        <v>113</v>
      </c>
      <c r="B102" s="4">
        <v>45392</v>
      </c>
      <c r="C102" t="s">
        <v>358</v>
      </c>
      <c r="D102" t="s">
        <v>482</v>
      </c>
      <c r="E102">
        <v>27</v>
      </c>
      <c r="F102" t="s">
        <v>485</v>
      </c>
      <c r="G102" t="s">
        <v>487</v>
      </c>
      <c r="H102" t="s">
        <v>494</v>
      </c>
      <c r="I102">
        <v>4</v>
      </c>
      <c r="J102">
        <v>1240</v>
      </c>
      <c r="K102">
        <v>0</v>
      </c>
      <c r="L102">
        <v>1</v>
      </c>
      <c r="M102" s="6">
        <v>4960</v>
      </c>
    </row>
    <row r="103" spans="1:13" x14ac:dyDescent="0.3">
      <c r="A103" t="s">
        <v>114</v>
      </c>
      <c r="B103" s="4">
        <v>45393</v>
      </c>
      <c r="C103" t="s">
        <v>359</v>
      </c>
      <c r="D103" t="s">
        <v>481</v>
      </c>
      <c r="E103">
        <v>36</v>
      </c>
      <c r="F103" t="s">
        <v>486</v>
      </c>
      <c r="G103" t="s">
        <v>488</v>
      </c>
      <c r="H103" t="s">
        <v>493</v>
      </c>
      <c r="I103">
        <v>3</v>
      </c>
      <c r="J103">
        <v>1117</v>
      </c>
      <c r="K103">
        <v>0</v>
      </c>
      <c r="L103">
        <v>9</v>
      </c>
      <c r="M103" s="6">
        <v>3351</v>
      </c>
    </row>
    <row r="104" spans="1:13" x14ac:dyDescent="0.3">
      <c r="A104" t="s">
        <v>115</v>
      </c>
      <c r="B104" s="4">
        <v>45394</v>
      </c>
      <c r="C104" t="s">
        <v>360</v>
      </c>
      <c r="D104" t="s">
        <v>481</v>
      </c>
      <c r="E104">
        <v>49</v>
      </c>
      <c r="F104" t="s">
        <v>486</v>
      </c>
      <c r="G104" t="s">
        <v>488</v>
      </c>
      <c r="H104" t="s">
        <v>495</v>
      </c>
      <c r="I104">
        <v>2</v>
      </c>
      <c r="J104">
        <v>1085</v>
      </c>
      <c r="K104">
        <v>5</v>
      </c>
      <c r="L104">
        <v>5</v>
      </c>
      <c r="M104" s="6">
        <v>2061.5</v>
      </c>
    </row>
    <row r="105" spans="1:13" x14ac:dyDescent="0.3">
      <c r="A105" t="s">
        <v>116</v>
      </c>
      <c r="B105" s="4">
        <v>45395</v>
      </c>
      <c r="C105" t="s">
        <v>361</v>
      </c>
      <c r="D105" t="s">
        <v>481</v>
      </c>
      <c r="E105">
        <v>18</v>
      </c>
      <c r="F105" t="s">
        <v>484</v>
      </c>
      <c r="G105" t="s">
        <v>490</v>
      </c>
      <c r="H105" t="s">
        <v>495</v>
      </c>
      <c r="I105">
        <v>4</v>
      </c>
      <c r="J105">
        <v>2952</v>
      </c>
      <c r="K105">
        <v>0</v>
      </c>
      <c r="L105">
        <v>4</v>
      </c>
      <c r="M105" s="6">
        <v>11808</v>
      </c>
    </row>
    <row r="106" spans="1:13" x14ac:dyDescent="0.3">
      <c r="A106" t="s">
        <v>117</v>
      </c>
      <c r="B106" s="4">
        <v>45396</v>
      </c>
      <c r="C106" t="s">
        <v>362</v>
      </c>
      <c r="D106" t="s">
        <v>482</v>
      </c>
      <c r="E106">
        <v>22</v>
      </c>
      <c r="F106" t="s">
        <v>483</v>
      </c>
      <c r="G106" t="s">
        <v>489</v>
      </c>
      <c r="H106" t="s">
        <v>493</v>
      </c>
      <c r="I106">
        <v>3</v>
      </c>
      <c r="J106">
        <v>221</v>
      </c>
      <c r="K106">
        <v>0</v>
      </c>
      <c r="L106">
        <v>6</v>
      </c>
      <c r="M106" s="6">
        <v>663</v>
      </c>
    </row>
    <row r="107" spans="1:13" x14ac:dyDescent="0.3">
      <c r="A107" t="s">
        <v>118</v>
      </c>
      <c r="B107" s="4">
        <v>45397</v>
      </c>
      <c r="C107" t="s">
        <v>363</v>
      </c>
      <c r="D107" t="s">
        <v>482</v>
      </c>
      <c r="E107">
        <v>21</v>
      </c>
      <c r="F107" t="s">
        <v>483</v>
      </c>
      <c r="G107" t="s">
        <v>491</v>
      </c>
      <c r="H107" t="s">
        <v>492</v>
      </c>
      <c r="I107">
        <v>5</v>
      </c>
      <c r="J107">
        <v>4769</v>
      </c>
      <c r="K107">
        <v>0</v>
      </c>
      <c r="L107">
        <v>6</v>
      </c>
      <c r="M107" s="6">
        <v>23845</v>
      </c>
    </row>
    <row r="108" spans="1:13" x14ac:dyDescent="0.3">
      <c r="A108" t="s">
        <v>119</v>
      </c>
      <c r="B108" s="4">
        <v>45398</v>
      </c>
      <c r="C108" t="s">
        <v>364</v>
      </c>
      <c r="D108" t="s">
        <v>481</v>
      </c>
      <c r="E108">
        <v>33</v>
      </c>
      <c r="F108" t="s">
        <v>484</v>
      </c>
      <c r="G108" t="s">
        <v>489</v>
      </c>
      <c r="H108" t="s">
        <v>494</v>
      </c>
      <c r="I108">
        <v>4</v>
      </c>
      <c r="J108">
        <v>3391</v>
      </c>
      <c r="K108">
        <v>5</v>
      </c>
      <c r="L108">
        <v>2</v>
      </c>
      <c r="M108" s="6">
        <v>12885.8</v>
      </c>
    </row>
    <row r="109" spans="1:13" x14ac:dyDescent="0.3">
      <c r="A109" t="s">
        <v>120</v>
      </c>
      <c r="B109" s="4">
        <v>45399</v>
      </c>
      <c r="C109" t="s">
        <v>365</v>
      </c>
      <c r="D109" t="s">
        <v>482</v>
      </c>
      <c r="E109">
        <v>41</v>
      </c>
      <c r="F109" t="s">
        <v>485</v>
      </c>
      <c r="G109" t="s">
        <v>489</v>
      </c>
      <c r="H109" t="s">
        <v>493</v>
      </c>
      <c r="I109">
        <v>3</v>
      </c>
      <c r="J109">
        <v>2553</v>
      </c>
      <c r="K109">
        <v>0</v>
      </c>
      <c r="L109">
        <v>8</v>
      </c>
      <c r="M109" s="6">
        <v>7659</v>
      </c>
    </row>
    <row r="110" spans="1:13" x14ac:dyDescent="0.3">
      <c r="A110" t="s">
        <v>121</v>
      </c>
      <c r="B110" s="4">
        <v>45400</v>
      </c>
      <c r="C110" t="s">
        <v>366</v>
      </c>
      <c r="D110" t="s">
        <v>482</v>
      </c>
      <c r="E110">
        <v>33</v>
      </c>
      <c r="F110" t="s">
        <v>483</v>
      </c>
      <c r="G110" t="s">
        <v>488</v>
      </c>
      <c r="H110" t="s">
        <v>494</v>
      </c>
      <c r="I110">
        <v>3</v>
      </c>
      <c r="J110">
        <v>4999</v>
      </c>
      <c r="K110">
        <v>0</v>
      </c>
      <c r="L110">
        <v>7</v>
      </c>
      <c r="M110" s="6">
        <v>14997</v>
      </c>
    </row>
    <row r="111" spans="1:13" x14ac:dyDescent="0.3">
      <c r="A111" t="s">
        <v>122</v>
      </c>
      <c r="B111" s="4">
        <v>45401</v>
      </c>
      <c r="C111" t="s">
        <v>367</v>
      </c>
      <c r="D111" t="s">
        <v>482</v>
      </c>
      <c r="E111">
        <v>19</v>
      </c>
      <c r="F111" t="s">
        <v>486</v>
      </c>
      <c r="G111" t="s">
        <v>489</v>
      </c>
      <c r="H111" t="s">
        <v>492</v>
      </c>
      <c r="I111">
        <v>1</v>
      </c>
      <c r="J111">
        <v>886</v>
      </c>
      <c r="K111">
        <v>5</v>
      </c>
      <c r="L111">
        <v>1</v>
      </c>
      <c r="M111" s="6">
        <v>841.69999999999993</v>
      </c>
    </row>
    <row r="112" spans="1:13" x14ac:dyDescent="0.3">
      <c r="A112" t="s">
        <v>123</v>
      </c>
      <c r="B112" s="4">
        <v>45402</v>
      </c>
      <c r="C112" t="s">
        <v>368</v>
      </c>
      <c r="D112" t="s">
        <v>482</v>
      </c>
      <c r="E112">
        <v>45</v>
      </c>
      <c r="F112" t="s">
        <v>483</v>
      </c>
      <c r="G112" t="s">
        <v>487</v>
      </c>
      <c r="H112" t="s">
        <v>494</v>
      </c>
      <c r="I112">
        <v>5</v>
      </c>
      <c r="J112">
        <v>484</v>
      </c>
      <c r="K112">
        <v>0</v>
      </c>
      <c r="L112">
        <v>5</v>
      </c>
      <c r="M112" s="6">
        <v>2420</v>
      </c>
    </row>
    <row r="113" spans="1:13" x14ac:dyDescent="0.3">
      <c r="A113" t="s">
        <v>124</v>
      </c>
      <c r="B113" s="4">
        <v>45403</v>
      </c>
      <c r="C113" t="s">
        <v>369</v>
      </c>
      <c r="D113" t="s">
        <v>482</v>
      </c>
      <c r="E113">
        <v>49</v>
      </c>
      <c r="F113" t="s">
        <v>486</v>
      </c>
      <c r="G113" t="s">
        <v>488</v>
      </c>
      <c r="H113" t="s">
        <v>493</v>
      </c>
      <c r="I113">
        <v>1</v>
      </c>
      <c r="J113">
        <v>3947</v>
      </c>
      <c r="K113">
        <v>0</v>
      </c>
      <c r="L113">
        <v>6</v>
      </c>
      <c r="M113" s="6">
        <v>3947</v>
      </c>
    </row>
    <row r="114" spans="1:13" x14ac:dyDescent="0.3">
      <c r="A114" t="s">
        <v>125</v>
      </c>
      <c r="B114" s="4">
        <v>45404</v>
      </c>
      <c r="C114" t="s">
        <v>370</v>
      </c>
      <c r="D114" t="s">
        <v>482</v>
      </c>
      <c r="E114">
        <v>44</v>
      </c>
      <c r="F114" t="s">
        <v>485</v>
      </c>
      <c r="G114" t="s">
        <v>487</v>
      </c>
      <c r="H114" t="s">
        <v>494</v>
      </c>
      <c r="I114">
        <v>2</v>
      </c>
      <c r="J114">
        <v>962</v>
      </c>
      <c r="K114">
        <v>0</v>
      </c>
      <c r="L114">
        <v>4</v>
      </c>
      <c r="M114" s="6">
        <v>1924</v>
      </c>
    </row>
    <row r="115" spans="1:13" x14ac:dyDescent="0.3">
      <c r="A115" t="s">
        <v>126</v>
      </c>
      <c r="B115" s="4">
        <v>45405</v>
      </c>
      <c r="C115" t="s">
        <v>371</v>
      </c>
      <c r="D115" t="s">
        <v>481</v>
      </c>
      <c r="E115">
        <v>37</v>
      </c>
      <c r="F115" t="s">
        <v>484</v>
      </c>
      <c r="G115" t="s">
        <v>491</v>
      </c>
      <c r="H115" t="s">
        <v>495</v>
      </c>
      <c r="I115">
        <v>1</v>
      </c>
      <c r="J115">
        <v>2628</v>
      </c>
      <c r="K115">
        <v>0</v>
      </c>
      <c r="L115">
        <v>2</v>
      </c>
      <c r="M115" s="6">
        <v>2628</v>
      </c>
    </row>
    <row r="116" spans="1:13" x14ac:dyDescent="0.3">
      <c r="A116" t="s">
        <v>127</v>
      </c>
      <c r="B116" s="4">
        <v>45406</v>
      </c>
      <c r="C116" t="s">
        <v>372</v>
      </c>
      <c r="D116" t="s">
        <v>481</v>
      </c>
      <c r="E116">
        <v>41</v>
      </c>
      <c r="F116" t="s">
        <v>483</v>
      </c>
      <c r="G116" t="s">
        <v>488</v>
      </c>
      <c r="H116" t="s">
        <v>492</v>
      </c>
      <c r="I116">
        <v>1</v>
      </c>
      <c r="J116">
        <v>2707</v>
      </c>
      <c r="K116">
        <v>0</v>
      </c>
      <c r="L116">
        <v>4</v>
      </c>
      <c r="M116" s="6">
        <v>2707</v>
      </c>
    </row>
    <row r="117" spans="1:13" x14ac:dyDescent="0.3">
      <c r="A117" t="s">
        <v>128</v>
      </c>
      <c r="B117" s="4">
        <v>45407</v>
      </c>
      <c r="C117" t="s">
        <v>373</v>
      </c>
      <c r="D117" t="s">
        <v>482</v>
      </c>
      <c r="E117">
        <v>29</v>
      </c>
      <c r="F117" t="s">
        <v>484</v>
      </c>
      <c r="G117" t="s">
        <v>491</v>
      </c>
      <c r="H117" t="s">
        <v>492</v>
      </c>
      <c r="I117">
        <v>4</v>
      </c>
      <c r="J117">
        <v>228</v>
      </c>
      <c r="K117">
        <v>0</v>
      </c>
      <c r="L117">
        <v>1</v>
      </c>
      <c r="M117" s="6">
        <v>912</v>
      </c>
    </row>
    <row r="118" spans="1:13" x14ac:dyDescent="0.3">
      <c r="A118" t="s">
        <v>129</v>
      </c>
      <c r="B118" s="4">
        <v>45408</v>
      </c>
      <c r="C118" t="s">
        <v>374</v>
      </c>
      <c r="D118" t="s">
        <v>481</v>
      </c>
      <c r="E118">
        <v>52</v>
      </c>
      <c r="F118" t="s">
        <v>483</v>
      </c>
      <c r="G118" t="s">
        <v>488</v>
      </c>
      <c r="H118" t="s">
        <v>492</v>
      </c>
      <c r="I118">
        <v>3</v>
      </c>
      <c r="J118">
        <v>1106</v>
      </c>
      <c r="K118">
        <v>10</v>
      </c>
      <c r="L118">
        <v>7</v>
      </c>
      <c r="M118" s="6">
        <v>2986.2</v>
      </c>
    </row>
    <row r="119" spans="1:13" x14ac:dyDescent="0.3">
      <c r="A119" t="s">
        <v>130</v>
      </c>
      <c r="B119" s="4">
        <v>45409</v>
      </c>
      <c r="C119" t="s">
        <v>375</v>
      </c>
      <c r="D119" t="s">
        <v>481</v>
      </c>
      <c r="E119">
        <v>50</v>
      </c>
      <c r="F119" t="s">
        <v>486</v>
      </c>
      <c r="G119" t="s">
        <v>490</v>
      </c>
      <c r="H119" t="s">
        <v>493</v>
      </c>
      <c r="I119">
        <v>5</v>
      </c>
      <c r="J119">
        <v>3304</v>
      </c>
      <c r="K119">
        <v>15</v>
      </c>
      <c r="L119">
        <v>2</v>
      </c>
      <c r="M119" s="6">
        <v>14042</v>
      </c>
    </row>
    <row r="120" spans="1:13" x14ac:dyDescent="0.3">
      <c r="A120" t="s">
        <v>131</v>
      </c>
      <c r="B120" s="4">
        <v>45410</v>
      </c>
      <c r="C120" t="s">
        <v>376</v>
      </c>
      <c r="D120" t="s">
        <v>481</v>
      </c>
      <c r="E120">
        <v>50</v>
      </c>
      <c r="F120" t="s">
        <v>484</v>
      </c>
      <c r="G120" t="s">
        <v>489</v>
      </c>
      <c r="H120" t="s">
        <v>492</v>
      </c>
      <c r="I120">
        <v>1</v>
      </c>
      <c r="J120">
        <v>4199</v>
      </c>
      <c r="K120">
        <v>5</v>
      </c>
      <c r="L120">
        <v>2</v>
      </c>
      <c r="M120" s="6">
        <v>3989.05</v>
      </c>
    </row>
    <row r="121" spans="1:13" x14ac:dyDescent="0.3">
      <c r="A121" t="s">
        <v>132</v>
      </c>
      <c r="B121" s="4">
        <v>45411</v>
      </c>
      <c r="C121" t="s">
        <v>377</v>
      </c>
      <c r="D121" t="s">
        <v>481</v>
      </c>
      <c r="E121">
        <v>54</v>
      </c>
      <c r="F121" t="s">
        <v>483</v>
      </c>
      <c r="G121" t="s">
        <v>490</v>
      </c>
      <c r="H121" t="s">
        <v>495</v>
      </c>
      <c r="I121">
        <v>5</v>
      </c>
      <c r="J121">
        <v>3194</v>
      </c>
      <c r="K121">
        <v>5</v>
      </c>
      <c r="L121">
        <v>9</v>
      </c>
      <c r="M121" s="6">
        <v>15171.5</v>
      </c>
    </row>
    <row r="122" spans="1:13" x14ac:dyDescent="0.3">
      <c r="A122" t="s">
        <v>133</v>
      </c>
      <c r="B122" s="4">
        <v>45412</v>
      </c>
      <c r="C122" t="s">
        <v>378</v>
      </c>
      <c r="D122" t="s">
        <v>482</v>
      </c>
      <c r="E122">
        <v>29</v>
      </c>
      <c r="F122" t="s">
        <v>486</v>
      </c>
      <c r="G122" t="s">
        <v>491</v>
      </c>
      <c r="H122" t="s">
        <v>493</v>
      </c>
      <c r="I122">
        <v>1</v>
      </c>
      <c r="J122">
        <v>2706</v>
      </c>
      <c r="K122">
        <v>5</v>
      </c>
      <c r="L122">
        <v>5</v>
      </c>
      <c r="M122" s="6">
        <v>2570.6999999999998</v>
      </c>
    </row>
    <row r="123" spans="1:13" x14ac:dyDescent="0.3">
      <c r="A123" t="s">
        <v>134</v>
      </c>
      <c r="B123" s="4">
        <v>45413</v>
      </c>
      <c r="C123" t="s">
        <v>379</v>
      </c>
      <c r="D123" t="s">
        <v>481</v>
      </c>
      <c r="E123">
        <v>20</v>
      </c>
      <c r="F123" t="s">
        <v>484</v>
      </c>
      <c r="G123" t="s">
        <v>489</v>
      </c>
      <c r="H123" t="s">
        <v>495</v>
      </c>
      <c r="I123">
        <v>2</v>
      </c>
      <c r="J123">
        <v>4865</v>
      </c>
      <c r="K123">
        <v>10</v>
      </c>
      <c r="L123">
        <v>2</v>
      </c>
      <c r="M123" s="6">
        <v>8757</v>
      </c>
    </row>
    <row r="124" spans="1:13" x14ac:dyDescent="0.3">
      <c r="A124" t="s">
        <v>135</v>
      </c>
      <c r="B124" s="4">
        <v>45414</v>
      </c>
      <c r="C124" t="s">
        <v>380</v>
      </c>
      <c r="D124" t="s">
        <v>481</v>
      </c>
      <c r="E124">
        <v>18</v>
      </c>
      <c r="F124" t="s">
        <v>484</v>
      </c>
      <c r="G124" t="s">
        <v>488</v>
      </c>
      <c r="H124" t="s">
        <v>494</v>
      </c>
      <c r="I124">
        <v>1</v>
      </c>
      <c r="J124">
        <v>3809</v>
      </c>
      <c r="K124">
        <v>0</v>
      </c>
      <c r="L124">
        <v>9</v>
      </c>
      <c r="M124" s="6">
        <v>3809</v>
      </c>
    </row>
    <row r="125" spans="1:13" x14ac:dyDescent="0.3">
      <c r="A125" t="s">
        <v>136</v>
      </c>
      <c r="B125" s="4">
        <v>45415</v>
      </c>
      <c r="C125" t="s">
        <v>299</v>
      </c>
      <c r="D125" t="s">
        <v>482</v>
      </c>
      <c r="E125">
        <v>50</v>
      </c>
      <c r="F125" t="s">
        <v>483</v>
      </c>
      <c r="G125" t="s">
        <v>489</v>
      </c>
      <c r="H125" t="s">
        <v>494</v>
      </c>
      <c r="I125">
        <v>4</v>
      </c>
      <c r="J125">
        <v>3753</v>
      </c>
      <c r="K125">
        <v>0</v>
      </c>
      <c r="L125">
        <v>9</v>
      </c>
      <c r="M125" s="6">
        <v>15012</v>
      </c>
    </row>
    <row r="126" spans="1:13" x14ac:dyDescent="0.3">
      <c r="A126" t="s">
        <v>137</v>
      </c>
      <c r="B126" s="4">
        <v>45416</v>
      </c>
      <c r="C126" t="s">
        <v>381</v>
      </c>
      <c r="D126" t="s">
        <v>482</v>
      </c>
      <c r="E126">
        <v>57</v>
      </c>
      <c r="F126" t="s">
        <v>483</v>
      </c>
      <c r="G126" t="s">
        <v>487</v>
      </c>
      <c r="H126" t="s">
        <v>494</v>
      </c>
      <c r="I126">
        <v>3</v>
      </c>
      <c r="J126">
        <v>1653</v>
      </c>
      <c r="K126">
        <v>0</v>
      </c>
      <c r="L126">
        <v>1</v>
      </c>
      <c r="M126" s="6">
        <v>4959</v>
      </c>
    </row>
    <row r="127" spans="1:13" x14ac:dyDescent="0.3">
      <c r="A127" t="s">
        <v>138</v>
      </c>
      <c r="B127" s="4">
        <v>45417</v>
      </c>
      <c r="C127" t="s">
        <v>382</v>
      </c>
      <c r="D127" t="s">
        <v>481</v>
      </c>
      <c r="E127">
        <v>27</v>
      </c>
      <c r="F127" t="s">
        <v>483</v>
      </c>
      <c r="G127" t="s">
        <v>489</v>
      </c>
      <c r="H127" t="s">
        <v>494</v>
      </c>
      <c r="I127">
        <v>2</v>
      </c>
      <c r="J127">
        <v>3556</v>
      </c>
      <c r="K127">
        <v>10</v>
      </c>
      <c r="L127">
        <v>3</v>
      </c>
      <c r="M127" s="6">
        <v>6400.8</v>
      </c>
    </row>
    <row r="128" spans="1:13" x14ac:dyDescent="0.3">
      <c r="A128" t="s">
        <v>139</v>
      </c>
      <c r="B128" s="4">
        <v>45418</v>
      </c>
      <c r="C128" t="s">
        <v>286</v>
      </c>
      <c r="D128" t="s">
        <v>481</v>
      </c>
      <c r="E128">
        <v>46</v>
      </c>
      <c r="F128" t="s">
        <v>486</v>
      </c>
      <c r="G128" t="s">
        <v>487</v>
      </c>
      <c r="H128" t="s">
        <v>495</v>
      </c>
      <c r="I128">
        <v>1</v>
      </c>
      <c r="J128">
        <v>715</v>
      </c>
      <c r="K128">
        <v>0</v>
      </c>
      <c r="L128">
        <v>4</v>
      </c>
      <c r="M128" s="6">
        <v>715</v>
      </c>
    </row>
    <row r="129" spans="1:13" x14ac:dyDescent="0.3">
      <c r="A129" t="s">
        <v>140</v>
      </c>
      <c r="B129" s="4">
        <v>45419</v>
      </c>
      <c r="C129" t="s">
        <v>383</v>
      </c>
      <c r="D129" t="s">
        <v>481</v>
      </c>
      <c r="E129">
        <v>30</v>
      </c>
      <c r="F129" t="s">
        <v>483</v>
      </c>
      <c r="G129" t="s">
        <v>489</v>
      </c>
      <c r="H129" t="s">
        <v>493</v>
      </c>
      <c r="I129">
        <v>5</v>
      </c>
      <c r="J129">
        <v>238</v>
      </c>
      <c r="K129">
        <v>10</v>
      </c>
      <c r="L129">
        <v>7</v>
      </c>
      <c r="M129" s="6">
        <v>1071</v>
      </c>
    </row>
    <row r="130" spans="1:13" x14ac:dyDescent="0.3">
      <c r="A130" t="s">
        <v>141</v>
      </c>
      <c r="B130" s="4">
        <v>45420</v>
      </c>
      <c r="C130" t="s">
        <v>384</v>
      </c>
      <c r="D130" t="s">
        <v>481</v>
      </c>
      <c r="E130">
        <v>29</v>
      </c>
      <c r="F130" t="s">
        <v>484</v>
      </c>
      <c r="G130" t="s">
        <v>487</v>
      </c>
      <c r="H130" t="s">
        <v>493</v>
      </c>
      <c r="I130">
        <v>2</v>
      </c>
      <c r="J130">
        <v>3542</v>
      </c>
      <c r="K130">
        <v>0</v>
      </c>
      <c r="L130">
        <v>4</v>
      </c>
      <c r="M130" s="6">
        <v>7084</v>
      </c>
    </row>
    <row r="131" spans="1:13" x14ac:dyDescent="0.3">
      <c r="A131" t="s">
        <v>142</v>
      </c>
      <c r="B131" s="4">
        <v>45421</v>
      </c>
      <c r="C131" t="s">
        <v>385</v>
      </c>
      <c r="D131" t="s">
        <v>481</v>
      </c>
      <c r="E131">
        <v>48</v>
      </c>
      <c r="F131" t="s">
        <v>484</v>
      </c>
      <c r="G131" t="s">
        <v>491</v>
      </c>
      <c r="H131" t="s">
        <v>492</v>
      </c>
      <c r="I131">
        <v>2</v>
      </c>
      <c r="J131">
        <v>1086</v>
      </c>
      <c r="K131">
        <v>0</v>
      </c>
      <c r="L131">
        <v>2</v>
      </c>
      <c r="M131" s="6">
        <v>2172</v>
      </c>
    </row>
    <row r="132" spans="1:13" x14ac:dyDescent="0.3">
      <c r="A132" t="s">
        <v>143</v>
      </c>
      <c r="B132" s="4">
        <v>45422</v>
      </c>
      <c r="C132" t="s">
        <v>386</v>
      </c>
      <c r="D132" t="s">
        <v>481</v>
      </c>
      <c r="E132">
        <v>19</v>
      </c>
      <c r="F132" t="s">
        <v>483</v>
      </c>
      <c r="G132" t="s">
        <v>490</v>
      </c>
      <c r="H132" t="s">
        <v>495</v>
      </c>
      <c r="I132">
        <v>1</v>
      </c>
      <c r="J132">
        <v>3044</v>
      </c>
      <c r="K132">
        <v>10</v>
      </c>
      <c r="L132">
        <v>7</v>
      </c>
      <c r="M132" s="6">
        <v>2739.6</v>
      </c>
    </row>
    <row r="133" spans="1:13" x14ac:dyDescent="0.3">
      <c r="A133" t="s">
        <v>144</v>
      </c>
      <c r="B133" s="4">
        <v>45423</v>
      </c>
      <c r="C133" t="s">
        <v>387</v>
      </c>
      <c r="D133" t="s">
        <v>482</v>
      </c>
      <c r="E133">
        <v>52</v>
      </c>
      <c r="F133" t="s">
        <v>483</v>
      </c>
      <c r="G133" t="s">
        <v>488</v>
      </c>
      <c r="H133" t="s">
        <v>494</v>
      </c>
      <c r="I133">
        <v>2</v>
      </c>
      <c r="J133">
        <v>2404</v>
      </c>
      <c r="K133">
        <v>5</v>
      </c>
      <c r="L133">
        <v>6</v>
      </c>
      <c r="M133" s="6">
        <v>4567.5999999999995</v>
      </c>
    </row>
    <row r="134" spans="1:13" x14ac:dyDescent="0.3">
      <c r="A134" t="s">
        <v>145</v>
      </c>
      <c r="B134" s="4">
        <v>45424</v>
      </c>
      <c r="C134" t="s">
        <v>388</v>
      </c>
      <c r="D134" t="s">
        <v>481</v>
      </c>
      <c r="E134">
        <v>40</v>
      </c>
      <c r="F134" t="s">
        <v>485</v>
      </c>
      <c r="G134" t="s">
        <v>489</v>
      </c>
      <c r="H134" t="s">
        <v>495</v>
      </c>
      <c r="I134">
        <v>5</v>
      </c>
      <c r="J134">
        <v>1298</v>
      </c>
      <c r="K134">
        <v>15</v>
      </c>
      <c r="L134">
        <v>3</v>
      </c>
      <c r="M134" s="6">
        <v>5516.5</v>
      </c>
    </row>
    <row r="135" spans="1:13" x14ac:dyDescent="0.3">
      <c r="A135" t="s">
        <v>146</v>
      </c>
      <c r="B135" s="4">
        <v>45425</v>
      </c>
      <c r="C135" t="s">
        <v>389</v>
      </c>
      <c r="D135" t="s">
        <v>481</v>
      </c>
      <c r="E135">
        <v>34</v>
      </c>
      <c r="F135" t="s">
        <v>484</v>
      </c>
      <c r="G135" t="s">
        <v>490</v>
      </c>
      <c r="H135" t="s">
        <v>492</v>
      </c>
      <c r="I135">
        <v>2</v>
      </c>
      <c r="J135">
        <v>2023</v>
      </c>
      <c r="K135">
        <v>0</v>
      </c>
      <c r="L135">
        <v>6</v>
      </c>
      <c r="M135" s="6">
        <v>4046</v>
      </c>
    </row>
    <row r="136" spans="1:13" x14ac:dyDescent="0.3">
      <c r="A136" t="s">
        <v>147</v>
      </c>
      <c r="B136" s="4">
        <v>45426</v>
      </c>
      <c r="C136" t="s">
        <v>390</v>
      </c>
      <c r="D136" t="s">
        <v>482</v>
      </c>
      <c r="E136">
        <v>43</v>
      </c>
      <c r="F136" t="s">
        <v>486</v>
      </c>
      <c r="G136" t="s">
        <v>488</v>
      </c>
      <c r="H136" t="s">
        <v>492</v>
      </c>
      <c r="I136">
        <v>5</v>
      </c>
      <c r="J136">
        <v>3401</v>
      </c>
      <c r="K136">
        <v>10</v>
      </c>
      <c r="L136">
        <v>6</v>
      </c>
      <c r="M136" s="6">
        <v>15304.5</v>
      </c>
    </row>
    <row r="137" spans="1:13" x14ac:dyDescent="0.3">
      <c r="A137" t="s">
        <v>148</v>
      </c>
      <c r="B137" s="4">
        <v>45427</v>
      </c>
      <c r="C137" t="s">
        <v>391</v>
      </c>
      <c r="D137" t="s">
        <v>482</v>
      </c>
      <c r="E137">
        <v>25</v>
      </c>
      <c r="F137" t="s">
        <v>485</v>
      </c>
      <c r="G137" t="s">
        <v>488</v>
      </c>
      <c r="H137" t="s">
        <v>495</v>
      </c>
      <c r="I137">
        <v>1</v>
      </c>
      <c r="J137">
        <v>3355</v>
      </c>
      <c r="K137">
        <v>15</v>
      </c>
      <c r="L137">
        <v>5</v>
      </c>
      <c r="M137" s="6">
        <v>2851.75</v>
      </c>
    </row>
    <row r="138" spans="1:13" x14ac:dyDescent="0.3">
      <c r="A138" t="s">
        <v>149</v>
      </c>
      <c r="B138" s="4">
        <v>45428</v>
      </c>
      <c r="C138" t="s">
        <v>392</v>
      </c>
      <c r="D138" t="s">
        <v>482</v>
      </c>
      <c r="E138">
        <v>46</v>
      </c>
      <c r="F138" t="s">
        <v>483</v>
      </c>
      <c r="G138" t="s">
        <v>487</v>
      </c>
      <c r="H138" t="s">
        <v>495</v>
      </c>
      <c r="I138">
        <v>3</v>
      </c>
      <c r="J138">
        <v>3293</v>
      </c>
      <c r="K138">
        <v>0</v>
      </c>
      <c r="L138">
        <v>4</v>
      </c>
      <c r="M138" s="6">
        <v>9879</v>
      </c>
    </row>
    <row r="139" spans="1:13" x14ac:dyDescent="0.3">
      <c r="A139" t="s">
        <v>150</v>
      </c>
      <c r="B139" s="4">
        <v>45429</v>
      </c>
      <c r="C139" t="s">
        <v>393</v>
      </c>
      <c r="D139" t="s">
        <v>482</v>
      </c>
      <c r="E139">
        <v>43</v>
      </c>
      <c r="F139" t="s">
        <v>483</v>
      </c>
      <c r="G139" t="s">
        <v>491</v>
      </c>
      <c r="H139" t="s">
        <v>495</v>
      </c>
      <c r="I139">
        <v>2</v>
      </c>
      <c r="J139">
        <v>3730</v>
      </c>
      <c r="K139">
        <v>10</v>
      </c>
      <c r="L139">
        <v>1</v>
      </c>
      <c r="M139" s="6">
        <v>6714</v>
      </c>
    </row>
    <row r="140" spans="1:13" x14ac:dyDescent="0.3">
      <c r="A140" t="s">
        <v>151</v>
      </c>
      <c r="B140" s="4">
        <v>45430</v>
      </c>
      <c r="C140" t="s">
        <v>394</v>
      </c>
      <c r="D140" t="s">
        <v>481</v>
      </c>
      <c r="E140">
        <v>27</v>
      </c>
      <c r="F140" t="s">
        <v>484</v>
      </c>
      <c r="G140" t="s">
        <v>491</v>
      </c>
      <c r="H140" t="s">
        <v>493</v>
      </c>
      <c r="I140">
        <v>3</v>
      </c>
      <c r="J140">
        <v>3978</v>
      </c>
      <c r="K140">
        <v>5</v>
      </c>
      <c r="L140">
        <v>6</v>
      </c>
      <c r="M140" s="6">
        <v>11337.3</v>
      </c>
    </row>
    <row r="141" spans="1:13" x14ac:dyDescent="0.3">
      <c r="A141" t="s">
        <v>152</v>
      </c>
      <c r="B141" s="4">
        <v>45431</v>
      </c>
      <c r="C141" t="s">
        <v>395</v>
      </c>
      <c r="D141" t="s">
        <v>481</v>
      </c>
      <c r="E141">
        <v>43</v>
      </c>
      <c r="F141" t="s">
        <v>483</v>
      </c>
      <c r="G141" t="s">
        <v>490</v>
      </c>
      <c r="H141" t="s">
        <v>494</v>
      </c>
      <c r="I141">
        <v>5</v>
      </c>
      <c r="J141">
        <v>3096</v>
      </c>
      <c r="K141">
        <v>10</v>
      </c>
      <c r="L141">
        <v>2</v>
      </c>
      <c r="M141" s="6">
        <v>13932</v>
      </c>
    </row>
    <row r="142" spans="1:13" x14ac:dyDescent="0.3">
      <c r="A142" t="s">
        <v>153</v>
      </c>
      <c r="B142" s="4">
        <v>45432</v>
      </c>
      <c r="C142" t="s">
        <v>396</v>
      </c>
      <c r="D142" t="s">
        <v>481</v>
      </c>
      <c r="E142">
        <v>51</v>
      </c>
      <c r="F142" t="s">
        <v>486</v>
      </c>
      <c r="G142" t="s">
        <v>491</v>
      </c>
      <c r="H142" t="s">
        <v>495</v>
      </c>
      <c r="I142">
        <v>2</v>
      </c>
      <c r="J142">
        <v>3653</v>
      </c>
      <c r="K142">
        <v>15</v>
      </c>
      <c r="L142">
        <v>3</v>
      </c>
      <c r="M142" s="6">
        <v>6210.0999999999995</v>
      </c>
    </row>
    <row r="143" spans="1:13" x14ac:dyDescent="0.3">
      <c r="A143" t="s">
        <v>154</v>
      </c>
      <c r="B143" s="4">
        <v>45433</v>
      </c>
      <c r="C143" t="s">
        <v>397</v>
      </c>
      <c r="D143" t="s">
        <v>481</v>
      </c>
      <c r="E143">
        <v>58</v>
      </c>
      <c r="F143" t="s">
        <v>484</v>
      </c>
      <c r="G143" t="s">
        <v>489</v>
      </c>
      <c r="H143" t="s">
        <v>495</v>
      </c>
      <c r="I143">
        <v>4</v>
      </c>
      <c r="J143">
        <v>3711</v>
      </c>
      <c r="K143">
        <v>5</v>
      </c>
      <c r="L143">
        <v>8</v>
      </c>
      <c r="M143" s="6">
        <v>14101.8</v>
      </c>
    </row>
    <row r="144" spans="1:13" x14ac:dyDescent="0.3">
      <c r="A144" t="s">
        <v>155</v>
      </c>
      <c r="B144" s="4">
        <v>45434</v>
      </c>
      <c r="C144" t="s">
        <v>376</v>
      </c>
      <c r="D144" t="s">
        <v>481</v>
      </c>
      <c r="E144">
        <v>24</v>
      </c>
      <c r="F144" t="s">
        <v>483</v>
      </c>
      <c r="G144" t="s">
        <v>491</v>
      </c>
      <c r="H144" t="s">
        <v>495</v>
      </c>
      <c r="I144">
        <v>3</v>
      </c>
      <c r="J144">
        <v>1188</v>
      </c>
      <c r="K144">
        <v>0</v>
      </c>
      <c r="L144">
        <v>6</v>
      </c>
      <c r="M144" s="6">
        <v>3564</v>
      </c>
    </row>
    <row r="145" spans="1:13" x14ac:dyDescent="0.3">
      <c r="A145" t="s">
        <v>156</v>
      </c>
      <c r="B145" s="4">
        <v>45435</v>
      </c>
      <c r="C145" t="s">
        <v>398</v>
      </c>
      <c r="D145" t="s">
        <v>481</v>
      </c>
      <c r="E145">
        <v>21</v>
      </c>
      <c r="F145" t="s">
        <v>484</v>
      </c>
      <c r="G145" t="s">
        <v>490</v>
      </c>
      <c r="H145" t="s">
        <v>492</v>
      </c>
      <c r="I145">
        <v>2</v>
      </c>
      <c r="J145">
        <v>4316</v>
      </c>
      <c r="K145">
        <v>0</v>
      </c>
      <c r="L145">
        <v>3</v>
      </c>
      <c r="M145" s="6">
        <v>8632</v>
      </c>
    </row>
    <row r="146" spans="1:13" x14ac:dyDescent="0.3">
      <c r="A146" t="s">
        <v>157</v>
      </c>
      <c r="B146" s="4">
        <v>45436</v>
      </c>
      <c r="C146" t="s">
        <v>399</v>
      </c>
      <c r="D146" t="s">
        <v>482</v>
      </c>
      <c r="E146">
        <v>28</v>
      </c>
      <c r="F146" t="s">
        <v>483</v>
      </c>
      <c r="G146" t="s">
        <v>491</v>
      </c>
      <c r="H146" t="s">
        <v>492</v>
      </c>
      <c r="I146">
        <v>3</v>
      </c>
      <c r="J146">
        <v>4226</v>
      </c>
      <c r="K146">
        <v>10</v>
      </c>
      <c r="L146">
        <v>7</v>
      </c>
      <c r="M146" s="6">
        <v>11410.2</v>
      </c>
    </row>
    <row r="147" spans="1:13" x14ac:dyDescent="0.3">
      <c r="A147" t="s">
        <v>158</v>
      </c>
      <c r="B147" s="4">
        <v>45437</v>
      </c>
      <c r="C147" t="s">
        <v>400</v>
      </c>
      <c r="D147" t="s">
        <v>481</v>
      </c>
      <c r="E147">
        <v>46</v>
      </c>
      <c r="F147" t="s">
        <v>483</v>
      </c>
      <c r="G147" t="s">
        <v>489</v>
      </c>
      <c r="H147" t="s">
        <v>493</v>
      </c>
      <c r="I147">
        <v>2</v>
      </c>
      <c r="J147">
        <v>4379</v>
      </c>
      <c r="K147">
        <v>10</v>
      </c>
      <c r="L147">
        <v>4</v>
      </c>
      <c r="M147" s="6">
        <v>7882.2</v>
      </c>
    </row>
    <row r="148" spans="1:13" x14ac:dyDescent="0.3">
      <c r="A148" t="s">
        <v>159</v>
      </c>
      <c r="B148" s="4">
        <v>45438</v>
      </c>
      <c r="C148" t="s">
        <v>401</v>
      </c>
      <c r="D148" t="s">
        <v>482</v>
      </c>
      <c r="E148">
        <v>53</v>
      </c>
      <c r="F148" t="s">
        <v>483</v>
      </c>
      <c r="G148" t="s">
        <v>487</v>
      </c>
      <c r="H148" t="s">
        <v>494</v>
      </c>
      <c r="I148">
        <v>1</v>
      </c>
      <c r="J148">
        <v>1882</v>
      </c>
      <c r="K148">
        <v>0</v>
      </c>
      <c r="L148">
        <v>9</v>
      </c>
      <c r="M148" s="6">
        <v>1882</v>
      </c>
    </row>
    <row r="149" spans="1:13" x14ac:dyDescent="0.3">
      <c r="A149" t="s">
        <v>160</v>
      </c>
      <c r="B149" s="4">
        <v>45439</v>
      </c>
      <c r="C149" t="s">
        <v>402</v>
      </c>
      <c r="D149" t="s">
        <v>482</v>
      </c>
      <c r="E149">
        <v>42</v>
      </c>
      <c r="F149" t="s">
        <v>486</v>
      </c>
      <c r="G149" t="s">
        <v>490</v>
      </c>
      <c r="H149" t="s">
        <v>493</v>
      </c>
      <c r="I149">
        <v>3</v>
      </c>
      <c r="J149">
        <v>4865</v>
      </c>
      <c r="K149">
        <v>10</v>
      </c>
      <c r="L149">
        <v>5</v>
      </c>
      <c r="M149" s="6">
        <v>13135.5</v>
      </c>
    </row>
    <row r="150" spans="1:13" x14ac:dyDescent="0.3">
      <c r="A150" t="s">
        <v>161</v>
      </c>
      <c r="B150" s="4">
        <v>45440</v>
      </c>
      <c r="C150" t="s">
        <v>403</v>
      </c>
      <c r="D150" t="s">
        <v>481</v>
      </c>
      <c r="E150">
        <v>38</v>
      </c>
      <c r="F150" t="s">
        <v>486</v>
      </c>
      <c r="G150" t="s">
        <v>487</v>
      </c>
      <c r="H150" t="s">
        <v>494</v>
      </c>
      <c r="I150">
        <v>4</v>
      </c>
      <c r="J150">
        <v>4163</v>
      </c>
      <c r="K150">
        <v>0</v>
      </c>
      <c r="L150">
        <v>3</v>
      </c>
      <c r="M150" s="6">
        <v>16652</v>
      </c>
    </row>
    <row r="151" spans="1:13" x14ac:dyDescent="0.3">
      <c r="A151" t="s">
        <v>162</v>
      </c>
      <c r="B151" s="4">
        <v>45441</v>
      </c>
      <c r="C151" t="s">
        <v>404</v>
      </c>
      <c r="D151" t="s">
        <v>482</v>
      </c>
      <c r="E151">
        <v>53</v>
      </c>
      <c r="F151" t="s">
        <v>484</v>
      </c>
      <c r="G151" t="s">
        <v>487</v>
      </c>
      <c r="H151" t="s">
        <v>492</v>
      </c>
      <c r="I151">
        <v>4</v>
      </c>
      <c r="J151">
        <v>1133</v>
      </c>
      <c r="K151">
        <v>10</v>
      </c>
      <c r="L151">
        <v>2</v>
      </c>
      <c r="M151" s="6">
        <v>4078.8</v>
      </c>
    </row>
    <row r="152" spans="1:13" x14ac:dyDescent="0.3">
      <c r="A152" t="s">
        <v>163</v>
      </c>
      <c r="B152" s="4">
        <v>45442</v>
      </c>
      <c r="C152" t="s">
        <v>405</v>
      </c>
      <c r="D152" t="s">
        <v>481</v>
      </c>
      <c r="E152">
        <v>27</v>
      </c>
      <c r="F152" t="s">
        <v>483</v>
      </c>
      <c r="G152" t="s">
        <v>487</v>
      </c>
      <c r="H152" t="s">
        <v>492</v>
      </c>
      <c r="I152">
        <v>5</v>
      </c>
      <c r="J152">
        <v>3798</v>
      </c>
      <c r="K152">
        <v>0</v>
      </c>
      <c r="L152">
        <v>2</v>
      </c>
      <c r="M152" s="6">
        <v>18990</v>
      </c>
    </row>
    <row r="153" spans="1:13" x14ac:dyDescent="0.3">
      <c r="A153" t="s">
        <v>164</v>
      </c>
      <c r="B153" s="4">
        <v>45443</v>
      </c>
      <c r="C153" t="s">
        <v>406</v>
      </c>
      <c r="D153" t="s">
        <v>482</v>
      </c>
      <c r="E153">
        <v>54</v>
      </c>
      <c r="F153" t="s">
        <v>483</v>
      </c>
      <c r="G153" t="s">
        <v>488</v>
      </c>
      <c r="H153" t="s">
        <v>492</v>
      </c>
      <c r="I153">
        <v>2</v>
      </c>
      <c r="J153">
        <v>3433</v>
      </c>
      <c r="K153">
        <v>10</v>
      </c>
      <c r="L153">
        <v>3</v>
      </c>
      <c r="M153" s="6">
        <v>6179.4000000000005</v>
      </c>
    </row>
    <row r="154" spans="1:13" x14ac:dyDescent="0.3">
      <c r="A154" t="s">
        <v>165</v>
      </c>
      <c r="B154" s="4">
        <v>45444</v>
      </c>
      <c r="C154" t="s">
        <v>407</v>
      </c>
      <c r="D154" t="s">
        <v>481</v>
      </c>
      <c r="E154">
        <v>26</v>
      </c>
      <c r="F154" t="s">
        <v>486</v>
      </c>
      <c r="G154" t="s">
        <v>488</v>
      </c>
      <c r="H154" t="s">
        <v>493</v>
      </c>
      <c r="I154">
        <v>3</v>
      </c>
      <c r="J154">
        <v>2180</v>
      </c>
      <c r="K154">
        <v>0</v>
      </c>
      <c r="L154">
        <v>2</v>
      </c>
      <c r="M154" s="6">
        <v>6540</v>
      </c>
    </row>
    <row r="155" spans="1:13" x14ac:dyDescent="0.3">
      <c r="A155" t="s">
        <v>166</v>
      </c>
      <c r="B155" s="4">
        <v>45445</v>
      </c>
      <c r="C155" t="s">
        <v>408</v>
      </c>
      <c r="D155" t="s">
        <v>482</v>
      </c>
      <c r="E155">
        <v>41</v>
      </c>
      <c r="F155" t="s">
        <v>483</v>
      </c>
      <c r="G155" t="s">
        <v>487</v>
      </c>
      <c r="H155" t="s">
        <v>495</v>
      </c>
      <c r="I155">
        <v>5</v>
      </c>
      <c r="J155">
        <v>2055</v>
      </c>
      <c r="K155">
        <v>0</v>
      </c>
      <c r="L155">
        <v>4</v>
      </c>
      <c r="M155" s="6">
        <v>10275</v>
      </c>
    </row>
    <row r="156" spans="1:13" x14ac:dyDescent="0.3">
      <c r="A156" t="s">
        <v>167</v>
      </c>
      <c r="B156" s="4">
        <v>45446</v>
      </c>
      <c r="C156" t="s">
        <v>409</v>
      </c>
      <c r="D156" t="s">
        <v>481</v>
      </c>
      <c r="E156">
        <v>52</v>
      </c>
      <c r="F156" t="s">
        <v>486</v>
      </c>
      <c r="G156" t="s">
        <v>490</v>
      </c>
      <c r="H156" t="s">
        <v>495</v>
      </c>
      <c r="I156">
        <v>3</v>
      </c>
      <c r="J156">
        <v>3256</v>
      </c>
      <c r="K156">
        <v>0</v>
      </c>
      <c r="L156">
        <v>2</v>
      </c>
      <c r="M156" s="6">
        <v>9768</v>
      </c>
    </row>
    <row r="157" spans="1:13" x14ac:dyDescent="0.3">
      <c r="A157" t="s">
        <v>168</v>
      </c>
      <c r="B157" s="4">
        <v>45447</v>
      </c>
      <c r="C157" t="s">
        <v>410</v>
      </c>
      <c r="D157" t="s">
        <v>481</v>
      </c>
      <c r="E157">
        <v>52</v>
      </c>
      <c r="F157" t="s">
        <v>483</v>
      </c>
      <c r="G157" t="s">
        <v>489</v>
      </c>
      <c r="H157" t="s">
        <v>492</v>
      </c>
      <c r="I157">
        <v>2</v>
      </c>
      <c r="J157">
        <v>992</v>
      </c>
      <c r="K157">
        <v>5</v>
      </c>
      <c r="L157">
        <v>9</v>
      </c>
      <c r="M157" s="6">
        <v>1884.8</v>
      </c>
    </row>
    <row r="158" spans="1:13" x14ac:dyDescent="0.3">
      <c r="A158" t="s">
        <v>169</v>
      </c>
      <c r="B158" s="4">
        <v>45448</v>
      </c>
      <c r="C158" t="s">
        <v>411</v>
      </c>
      <c r="D158" t="s">
        <v>481</v>
      </c>
      <c r="E158">
        <v>53</v>
      </c>
      <c r="F158" t="s">
        <v>484</v>
      </c>
      <c r="G158" t="s">
        <v>489</v>
      </c>
      <c r="H158" t="s">
        <v>495</v>
      </c>
      <c r="I158">
        <v>4</v>
      </c>
      <c r="J158">
        <v>991</v>
      </c>
      <c r="K158">
        <v>15</v>
      </c>
      <c r="L158">
        <v>2</v>
      </c>
      <c r="M158" s="6">
        <v>3369.4</v>
      </c>
    </row>
    <row r="159" spans="1:13" x14ac:dyDescent="0.3">
      <c r="A159" t="s">
        <v>170</v>
      </c>
      <c r="B159" s="4">
        <v>45449</v>
      </c>
      <c r="C159" t="s">
        <v>280</v>
      </c>
      <c r="D159" t="s">
        <v>481</v>
      </c>
      <c r="E159">
        <v>35</v>
      </c>
      <c r="F159" t="s">
        <v>483</v>
      </c>
      <c r="G159" t="s">
        <v>491</v>
      </c>
      <c r="H159" t="s">
        <v>495</v>
      </c>
      <c r="I159">
        <v>1</v>
      </c>
      <c r="J159">
        <v>2009</v>
      </c>
      <c r="K159">
        <v>10</v>
      </c>
      <c r="L159">
        <v>9</v>
      </c>
      <c r="M159" s="6">
        <v>1808.1</v>
      </c>
    </row>
    <row r="160" spans="1:13" x14ac:dyDescent="0.3">
      <c r="A160" t="s">
        <v>171</v>
      </c>
      <c r="B160" s="4">
        <v>45450</v>
      </c>
      <c r="C160" t="s">
        <v>412</v>
      </c>
      <c r="D160" t="s">
        <v>481</v>
      </c>
      <c r="E160">
        <v>56</v>
      </c>
      <c r="F160" t="s">
        <v>483</v>
      </c>
      <c r="G160" t="s">
        <v>490</v>
      </c>
      <c r="H160" t="s">
        <v>493</v>
      </c>
      <c r="I160">
        <v>4</v>
      </c>
      <c r="J160">
        <v>2455</v>
      </c>
      <c r="K160">
        <v>5</v>
      </c>
      <c r="L160">
        <v>6</v>
      </c>
      <c r="M160" s="6">
        <v>9329</v>
      </c>
    </row>
    <row r="161" spans="1:13" x14ac:dyDescent="0.3">
      <c r="A161" t="s">
        <v>172</v>
      </c>
      <c r="B161" s="4">
        <v>45451</v>
      </c>
      <c r="C161" t="s">
        <v>413</v>
      </c>
      <c r="D161" t="s">
        <v>482</v>
      </c>
      <c r="E161">
        <v>49</v>
      </c>
      <c r="F161" t="s">
        <v>485</v>
      </c>
      <c r="G161" t="s">
        <v>488</v>
      </c>
      <c r="H161" t="s">
        <v>494</v>
      </c>
      <c r="I161">
        <v>5</v>
      </c>
      <c r="J161">
        <v>3810</v>
      </c>
      <c r="K161">
        <v>10</v>
      </c>
      <c r="L161">
        <v>1</v>
      </c>
      <c r="M161" s="6">
        <v>17145</v>
      </c>
    </row>
    <row r="162" spans="1:13" x14ac:dyDescent="0.3">
      <c r="A162" t="s">
        <v>173</v>
      </c>
      <c r="B162" s="4">
        <v>45452</v>
      </c>
      <c r="C162" t="s">
        <v>414</v>
      </c>
      <c r="D162" t="s">
        <v>482</v>
      </c>
      <c r="E162">
        <v>41</v>
      </c>
      <c r="F162" t="s">
        <v>486</v>
      </c>
      <c r="G162" t="s">
        <v>487</v>
      </c>
      <c r="H162" t="s">
        <v>492</v>
      </c>
      <c r="I162">
        <v>1</v>
      </c>
      <c r="J162">
        <v>1807</v>
      </c>
      <c r="K162">
        <v>15</v>
      </c>
      <c r="L162">
        <v>4</v>
      </c>
      <c r="M162" s="6">
        <v>1535.95</v>
      </c>
    </row>
    <row r="163" spans="1:13" x14ac:dyDescent="0.3">
      <c r="A163" t="s">
        <v>174</v>
      </c>
      <c r="B163" s="4">
        <v>45453</v>
      </c>
      <c r="C163" t="s">
        <v>415</v>
      </c>
      <c r="D163" t="s">
        <v>482</v>
      </c>
      <c r="E163">
        <v>40</v>
      </c>
      <c r="F163" t="s">
        <v>483</v>
      </c>
      <c r="G163" t="s">
        <v>491</v>
      </c>
      <c r="H163" t="s">
        <v>492</v>
      </c>
      <c r="I163">
        <v>5</v>
      </c>
      <c r="J163">
        <v>1184</v>
      </c>
      <c r="K163">
        <v>5</v>
      </c>
      <c r="L163">
        <v>1</v>
      </c>
      <c r="M163" s="6">
        <v>5624</v>
      </c>
    </row>
    <row r="164" spans="1:13" x14ac:dyDescent="0.3">
      <c r="A164" t="s">
        <v>175</v>
      </c>
      <c r="B164" s="4">
        <v>45454</v>
      </c>
      <c r="C164" t="s">
        <v>359</v>
      </c>
      <c r="D164" t="s">
        <v>481</v>
      </c>
      <c r="E164">
        <v>49</v>
      </c>
      <c r="F164" t="s">
        <v>483</v>
      </c>
      <c r="G164" t="s">
        <v>489</v>
      </c>
      <c r="H164" t="s">
        <v>493</v>
      </c>
      <c r="I164">
        <v>2</v>
      </c>
      <c r="J164">
        <v>3876</v>
      </c>
      <c r="K164">
        <v>0</v>
      </c>
      <c r="L164">
        <v>6</v>
      </c>
      <c r="M164" s="6">
        <v>7752</v>
      </c>
    </row>
    <row r="165" spans="1:13" x14ac:dyDescent="0.3">
      <c r="A165" t="s">
        <v>176</v>
      </c>
      <c r="B165" s="4">
        <v>45455</v>
      </c>
      <c r="C165" t="s">
        <v>416</v>
      </c>
      <c r="D165" t="s">
        <v>482</v>
      </c>
      <c r="E165">
        <v>54</v>
      </c>
      <c r="F165" t="s">
        <v>485</v>
      </c>
      <c r="G165" t="s">
        <v>488</v>
      </c>
      <c r="H165" t="s">
        <v>493</v>
      </c>
      <c r="I165">
        <v>1</v>
      </c>
      <c r="J165">
        <v>3580</v>
      </c>
      <c r="K165">
        <v>10</v>
      </c>
      <c r="L165">
        <v>4</v>
      </c>
      <c r="M165" s="6">
        <v>3222</v>
      </c>
    </row>
    <row r="166" spans="1:13" x14ac:dyDescent="0.3">
      <c r="A166" t="s">
        <v>177</v>
      </c>
      <c r="B166" s="4">
        <v>45456</v>
      </c>
      <c r="C166" t="s">
        <v>417</v>
      </c>
      <c r="D166" t="s">
        <v>481</v>
      </c>
      <c r="E166">
        <v>29</v>
      </c>
      <c r="F166" t="s">
        <v>485</v>
      </c>
      <c r="G166" t="s">
        <v>488</v>
      </c>
      <c r="H166" t="s">
        <v>495</v>
      </c>
      <c r="I166">
        <v>5</v>
      </c>
      <c r="J166">
        <v>719</v>
      </c>
      <c r="K166">
        <v>15</v>
      </c>
      <c r="L166">
        <v>3</v>
      </c>
      <c r="M166" s="6">
        <v>3055.75</v>
      </c>
    </row>
    <row r="167" spans="1:13" x14ac:dyDescent="0.3">
      <c r="A167" t="s">
        <v>178</v>
      </c>
      <c r="B167" s="4">
        <v>45457</v>
      </c>
      <c r="C167" t="s">
        <v>418</v>
      </c>
      <c r="D167" t="s">
        <v>481</v>
      </c>
      <c r="E167">
        <v>30</v>
      </c>
      <c r="F167" t="s">
        <v>486</v>
      </c>
      <c r="G167" t="s">
        <v>487</v>
      </c>
      <c r="H167" t="s">
        <v>492</v>
      </c>
      <c r="I167">
        <v>2</v>
      </c>
      <c r="J167">
        <v>790</v>
      </c>
      <c r="K167">
        <v>10</v>
      </c>
      <c r="L167">
        <v>3</v>
      </c>
      <c r="M167" s="6">
        <v>1422</v>
      </c>
    </row>
    <row r="168" spans="1:13" x14ac:dyDescent="0.3">
      <c r="A168" t="s">
        <v>179</v>
      </c>
      <c r="B168" s="4">
        <v>45458</v>
      </c>
      <c r="C168" t="s">
        <v>419</v>
      </c>
      <c r="D168" t="s">
        <v>482</v>
      </c>
      <c r="E168">
        <v>40</v>
      </c>
      <c r="F168" t="s">
        <v>485</v>
      </c>
      <c r="G168" t="s">
        <v>489</v>
      </c>
      <c r="H168" t="s">
        <v>494</v>
      </c>
      <c r="I168">
        <v>4</v>
      </c>
      <c r="J168">
        <v>1250</v>
      </c>
      <c r="K168">
        <v>10</v>
      </c>
      <c r="L168">
        <v>9</v>
      </c>
      <c r="M168" s="6">
        <v>4500</v>
      </c>
    </row>
    <row r="169" spans="1:13" x14ac:dyDescent="0.3">
      <c r="A169" t="s">
        <v>180</v>
      </c>
      <c r="B169" s="4">
        <v>45459</v>
      </c>
      <c r="C169" t="s">
        <v>405</v>
      </c>
      <c r="D169" t="s">
        <v>482</v>
      </c>
      <c r="E169">
        <v>42</v>
      </c>
      <c r="F169" t="s">
        <v>484</v>
      </c>
      <c r="G169" t="s">
        <v>490</v>
      </c>
      <c r="H169" t="s">
        <v>493</v>
      </c>
      <c r="I169">
        <v>2</v>
      </c>
      <c r="J169">
        <v>3833</v>
      </c>
      <c r="K169">
        <v>5</v>
      </c>
      <c r="L169">
        <v>6</v>
      </c>
      <c r="M169" s="6">
        <v>7282.7</v>
      </c>
    </row>
    <row r="170" spans="1:13" x14ac:dyDescent="0.3">
      <c r="A170" t="s">
        <v>181</v>
      </c>
      <c r="B170" s="4">
        <v>45460</v>
      </c>
      <c r="C170" t="s">
        <v>420</v>
      </c>
      <c r="D170" t="s">
        <v>481</v>
      </c>
      <c r="E170">
        <v>52</v>
      </c>
      <c r="F170" t="s">
        <v>485</v>
      </c>
      <c r="G170" t="s">
        <v>488</v>
      </c>
      <c r="H170" t="s">
        <v>494</v>
      </c>
      <c r="I170">
        <v>3</v>
      </c>
      <c r="J170">
        <v>4644</v>
      </c>
      <c r="K170">
        <v>15</v>
      </c>
      <c r="L170">
        <v>9</v>
      </c>
      <c r="M170" s="6">
        <v>11842.2</v>
      </c>
    </row>
    <row r="171" spans="1:13" x14ac:dyDescent="0.3">
      <c r="A171" t="s">
        <v>182</v>
      </c>
      <c r="B171" s="4">
        <v>45461</v>
      </c>
      <c r="C171" t="s">
        <v>421</v>
      </c>
      <c r="D171" t="s">
        <v>482</v>
      </c>
      <c r="E171">
        <v>58</v>
      </c>
      <c r="F171" t="s">
        <v>484</v>
      </c>
      <c r="G171" t="s">
        <v>487</v>
      </c>
      <c r="H171" t="s">
        <v>494</v>
      </c>
      <c r="I171">
        <v>2</v>
      </c>
      <c r="J171">
        <v>1159</v>
      </c>
      <c r="K171">
        <v>0</v>
      </c>
      <c r="L171">
        <v>5</v>
      </c>
      <c r="M171" s="6">
        <v>2318</v>
      </c>
    </row>
    <row r="172" spans="1:13" x14ac:dyDescent="0.3">
      <c r="A172" t="s">
        <v>183</v>
      </c>
      <c r="B172" s="4">
        <v>45462</v>
      </c>
      <c r="C172" t="s">
        <v>422</v>
      </c>
      <c r="D172" t="s">
        <v>481</v>
      </c>
      <c r="E172">
        <v>47</v>
      </c>
      <c r="F172" t="s">
        <v>486</v>
      </c>
      <c r="G172" t="s">
        <v>490</v>
      </c>
      <c r="H172" t="s">
        <v>492</v>
      </c>
      <c r="I172">
        <v>2</v>
      </c>
      <c r="J172">
        <v>892</v>
      </c>
      <c r="K172">
        <v>5</v>
      </c>
      <c r="L172">
        <v>2</v>
      </c>
      <c r="M172" s="6">
        <v>1694.8</v>
      </c>
    </row>
    <row r="173" spans="1:13" x14ac:dyDescent="0.3">
      <c r="A173" t="s">
        <v>184</v>
      </c>
      <c r="B173" s="4">
        <v>45463</v>
      </c>
      <c r="C173" t="s">
        <v>423</v>
      </c>
      <c r="D173" t="s">
        <v>481</v>
      </c>
      <c r="E173">
        <v>34</v>
      </c>
      <c r="F173" t="s">
        <v>486</v>
      </c>
      <c r="G173" t="s">
        <v>489</v>
      </c>
      <c r="H173" t="s">
        <v>492</v>
      </c>
      <c r="I173">
        <v>3</v>
      </c>
      <c r="J173">
        <v>4099</v>
      </c>
      <c r="K173">
        <v>0</v>
      </c>
      <c r="L173">
        <v>8</v>
      </c>
      <c r="M173" s="6">
        <v>12297</v>
      </c>
    </row>
    <row r="174" spans="1:13" x14ac:dyDescent="0.3">
      <c r="A174" t="s">
        <v>185</v>
      </c>
      <c r="B174" s="4">
        <v>45464</v>
      </c>
      <c r="C174" t="s">
        <v>424</v>
      </c>
      <c r="D174" t="s">
        <v>481</v>
      </c>
      <c r="E174">
        <v>37</v>
      </c>
      <c r="F174" t="s">
        <v>486</v>
      </c>
      <c r="G174" t="s">
        <v>488</v>
      </c>
      <c r="H174" t="s">
        <v>493</v>
      </c>
      <c r="I174">
        <v>5</v>
      </c>
      <c r="J174">
        <v>4673</v>
      </c>
      <c r="K174">
        <v>0</v>
      </c>
      <c r="L174">
        <v>5</v>
      </c>
      <c r="M174" s="6">
        <v>23365</v>
      </c>
    </row>
    <row r="175" spans="1:13" x14ac:dyDescent="0.3">
      <c r="A175" t="s">
        <v>186</v>
      </c>
      <c r="B175" s="4">
        <v>45465</v>
      </c>
      <c r="C175" t="s">
        <v>425</v>
      </c>
      <c r="D175" t="s">
        <v>481</v>
      </c>
      <c r="E175">
        <v>42</v>
      </c>
      <c r="F175" t="s">
        <v>486</v>
      </c>
      <c r="G175" t="s">
        <v>490</v>
      </c>
      <c r="H175" t="s">
        <v>492</v>
      </c>
      <c r="I175">
        <v>5</v>
      </c>
      <c r="J175">
        <v>3146</v>
      </c>
      <c r="K175">
        <v>0</v>
      </c>
      <c r="L175">
        <v>2</v>
      </c>
      <c r="M175" s="6">
        <v>15730</v>
      </c>
    </row>
    <row r="176" spans="1:13" x14ac:dyDescent="0.3">
      <c r="A176" t="s">
        <v>187</v>
      </c>
      <c r="B176" s="4">
        <v>45466</v>
      </c>
      <c r="C176" t="s">
        <v>378</v>
      </c>
      <c r="D176" t="s">
        <v>481</v>
      </c>
      <c r="E176">
        <v>39</v>
      </c>
      <c r="F176" t="s">
        <v>486</v>
      </c>
      <c r="G176" t="s">
        <v>490</v>
      </c>
      <c r="H176" t="s">
        <v>492</v>
      </c>
      <c r="I176">
        <v>2</v>
      </c>
      <c r="J176">
        <v>726</v>
      </c>
      <c r="K176">
        <v>0</v>
      </c>
      <c r="L176">
        <v>4</v>
      </c>
      <c r="M176" s="6">
        <v>1452</v>
      </c>
    </row>
    <row r="177" spans="1:13" x14ac:dyDescent="0.3">
      <c r="A177" t="s">
        <v>188</v>
      </c>
      <c r="B177" s="4">
        <v>45467</v>
      </c>
      <c r="C177" t="s">
        <v>426</v>
      </c>
      <c r="D177" t="s">
        <v>482</v>
      </c>
      <c r="E177">
        <v>30</v>
      </c>
      <c r="F177" t="s">
        <v>484</v>
      </c>
      <c r="G177" t="s">
        <v>490</v>
      </c>
      <c r="H177" t="s">
        <v>492</v>
      </c>
      <c r="I177">
        <v>3</v>
      </c>
      <c r="J177">
        <v>3424</v>
      </c>
      <c r="K177">
        <v>10</v>
      </c>
      <c r="L177">
        <v>9</v>
      </c>
      <c r="M177" s="6">
        <v>9244.8000000000011</v>
      </c>
    </row>
    <row r="178" spans="1:13" x14ac:dyDescent="0.3">
      <c r="A178" t="s">
        <v>189</v>
      </c>
      <c r="B178" s="4">
        <v>45468</v>
      </c>
      <c r="C178" t="s">
        <v>427</v>
      </c>
      <c r="D178" t="s">
        <v>482</v>
      </c>
      <c r="E178">
        <v>36</v>
      </c>
      <c r="F178" t="s">
        <v>484</v>
      </c>
      <c r="G178" t="s">
        <v>488</v>
      </c>
      <c r="H178" t="s">
        <v>494</v>
      </c>
      <c r="I178">
        <v>3</v>
      </c>
      <c r="J178">
        <v>2453</v>
      </c>
      <c r="K178">
        <v>0</v>
      </c>
      <c r="L178">
        <v>4</v>
      </c>
      <c r="M178" s="6">
        <v>7359</v>
      </c>
    </row>
    <row r="179" spans="1:13" x14ac:dyDescent="0.3">
      <c r="A179" t="s">
        <v>190</v>
      </c>
      <c r="B179" s="4">
        <v>45469</v>
      </c>
      <c r="C179" t="s">
        <v>428</v>
      </c>
      <c r="D179" t="s">
        <v>481</v>
      </c>
      <c r="E179">
        <v>53</v>
      </c>
      <c r="F179" t="s">
        <v>486</v>
      </c>
      <c r="G179" t="s">
        <v>488</v>
      </c>
      <c r="H179" t="s">
        <v>493</v>
      </c>
      <c r="I179">
        <v>4</v>
      </c>
      <c r="J179">
        <v>3544</v>
      </c>
      <c r="K179">
        <v>5</v>
      </c>
      <c r="L179">
        <v>4</v>
      </c>
      <c r="M179" s="6">
        <v>13467.2</v>
      </c>
    </row>
    <row r="180" spans="1:13" x14ac:dyDescent="0.3">
      <c r="A180" t="s">
        <v>191</v>
      </c>
      <c r="B180" s="4">
        <v>45470</v>
      </c>
      <c r="C180" t="s">
        <v>429</v>
      </c>
      <c r="D180" t="s">
        <v>481</v>
      </c>
      <c r="E180">
        <v>29</v>
      </c>
      <c r="F180" t="s">
        <v>485</v>
      </c>
      <c r="G180" t="s">
        <v>491</v>
      </c>
      <c r="H180" t="s">
        <v>495</v>
      </c>
      <c r="I180">
        <v>5</v>
      </c>
      <c r="J180">
        <v>4165</v>
      </c>
      <c r="K180">
        <v>0</v>
      </c>
      <c r="L180">
        <v>2</v>
      </c>
      <c r="M180" s="6">
        <v>20825</v>
      </c>
    </row>
    <row r="181" spans="1:13" x14ac:dyDescent="0.3">
      <c r="A181" t="s">
        <v>192</v>
      </c>
      <c r="B181" s="4">
        <v>45471</v>
      </c>
      <c r="C181" t="s">
        <v>430</v>
      </c>
      <c r="D181" t="s">
        <v>482</v>
      </c>
      <c r="E181">
        <v>58</v>
      </c>
      <c r="F181" t="s">
        <v>483</v>
      </c>
      <c r="G181" t="s">
        <v>489</v>
      </c>
      <c r="H181" t="s">
        <v>494</v>
      </c>
      <c r="I181">
        <v>1</v>
      </c>
      <c r="J181">
        <v>2075</v>
      </c>
      <c r="K181">
        <v>0</v>
      </c>
      <c r="L181">
        <v>6</v>
      </c>
      <c r="M181" s="6">
        <v>2075</v>
      </c>
    </row>
    <row r="182" spans="1:13" x14ac:dyDescent="0.3">
      <c r="A182" t="s">
        <v>193</v>
      </c>
      <c r="B182" s="4">
        <v>45472</v>
      </c>
      <c r="C182" t="s">
        <v>431</v>
      </c>
      <c r="D182" t="s">
        <v>482</v>
      </c>
      <c r="E182">
        <v>36</v>
      </c>
      <c r="F182" t="s">
        <v>486</v>
      </c>
      <c r="G182" t="s">
        <v>487</v>
      </c>
      <c r="H182" t="s">
        <v>492</v>
      </c>
      <c r="I182">
        <v>5</v>
      </c>
      <c r="J182">
        <v>1963</v>
      </c>
      <c r="K182">
        <v>0</v>
      </c>
      <c r="L182">
        <v>2</v>
      </c>
      <c r="M182" s="6">
        <v>9815</v>
      </c>
    </row>
    <row r="183" spans="1:13" x14ac:dyDescent="0.3">
      <c r="A183" t="s">
        <v>194</v>
      </c>
      <c r="B183" s="4">
        <v>45473</v>
      </c>
      <c r="C183" t="s">
        <v>432</v>
      </c>
      <c r="D183" t="s">
        <v>481</v>
      </c>
      <c r="E183">
        <v>29</v>
      </c>
      <c r="F183" t="s">
        <v>485</v>
      </c>
      <c r="G183" t="s">
        <v>490</v>
      </c>
      <c r="H183" t="s">
        <v>494</v>
      </c>
      <c r="I183">
        <v>5</v>
      </c>
      <c r="J183">
        <v>720</v>
      </c>
      <c r="K183">
        <v>0</v>
      </c>
      <c r="L183">
        <v>7</v>
      </c>
      <c r="M183" s="6">
        <v>3600</v>
      </c>
    </row>
    <row r="184" spans="1:13" x14ac:dyDescent="0.3">
      <c r="A184" t="s">
        <v>195</v>
      </c>
      <c r="B184" s="4">
        <v>45474</v>
      </c>
      <c r="C184" t="s">
        <v>433</v>
      </c>
      <c r="D184" t="s">
        <v>482</v>
      </c>
      <c r="E184">
        <v>26</v>
      </c>
      <c r="F184" t="s">
        <v>483</v>
      </c>
      <c r="G184" t="s">
        <v>491</v>
      </c>
      <c r="H184" t="s">
        <v>492</v>
      </c>
      <c r="I184">
        <v>4</v>
      </c>
      <c r="J184">
        <v>1216</v>
      </c>
      <c r="K184">
        <v>10</v>
      </c>
      <c r="L184">
        <v>3</v>
      </c>
      <c r="M184" s="6">
        <v>4377.6000000000004</v>
      </c>
    </row>
    <row r="185" spans="1:13" x14ac:dyDescent="0.3">
      <c r="A185" t="s">
        <v>196</v>
      </c>
      <c r="B185" s="4">
        <v>45475</v>
      </c>
      <c r="C185" t="s">
        <v>434</v>
      </c>
      <c r="D185" t="s">
        <v>481</v>
      </c>
      <c r="E185">
        <v>24</v>
      </c>
      <c r="F185" t="s">
        <v>486</v>
      </c>
      <c r="G185" t="s">
        <v>487</v>
      </c>
      <c r="H185" t="s">
        <v>492</v>
      </c>
      <c r="I185">
        <v>1</v>
      </c>
      <c r="J185">
        <v>316</v>
      </c>
      <c r="K185">
        <v>10</v>
      </c>
      <c r="L185">
        <v>3</v>
      </c>
      <c r="M185" s="6">
        <v>284.39999999999998</v>
      </c>
    </row>
    <row r="186" spans="1:13" x14ac:dyDescent="0.3">
      <c r="A186" t="s">
        <v>197</v>
      </c>
      <c r="B186" s="4">
        <v>45476</v>
      </c>
      <c r="C186" t="s">
        <v>435</v>
      </c>
      <c r="D186" t="s">
        <v>482</v>
      </c>
      <c r="E186">
        <v>45</v>
      </c>
      <c r="F186" t="s">
        <v>486</v>
      </c>
      <c r="G186" t="s">
        <v>491</v>
      </c>
      <c r="H186" t="s">
        <v>494</v>
      </c>
      <c r="I186">
        <v>4</v>
      </c>
      <c r="J186">
        <v>2633</v>
      </c>
      <c r="K186">
        <v>10</v>
      </c>
      <c r="L186">
        <v>5</v>
      </c>
      <c r="M186" s="6">
        <v>9478.8000000000011</v>
      </c>
    </row>
    <row r="187" spans="1:13" x14ac:dyDescent="0.3">
      <c r="A187" t="s">
        <v>198</v>
      </c>
      <c r="B187" s="4">
        <v>45477</v>
      </c>
      <c r="C187" t="s">
        <v>436</v>
      </c>
      <c r="D187" t="s">
        <v>481</v>
      </c>
      <c r="E187">
        <v>31</v>
      </c>
      <c r="F187" t="s">
        <v>484</v>
      </c>
      <c r="G187" t="s">
        <v>488</v>
      </c>
      <c r="H187" t="s">
        <v>493</v>
      </c>
      <c r="I187">
        <v>1</v>
      </c>
      <c r="J187">
        <v>783</v>
      </c>
      <c r="K187">
        <v>5</v>
      </c>
      <c r="L187">
        <v>3</v>
      </c>
      <c r="M187" s="6">
        <v>743.84999999999991</v>
      </c>
    </row>
    <row r="188" spans="1:13" x14ac:dyDescent="0.3">
      <c r="A188" t="s">
        <v>199</v>
      </c>
      <c r="B188" s="4">
        <v>45478</v>
      </c>
      <c r="C188" t="s">
        <v>437</v>
      </c>
      <c r="D188" t="s">
        <v>482</v>
      </c>
      <c r="E188">
        <v>48</v>
      </c>
      <c r="F188" t="s">
        <v>483</v>
      </c>
      <c r="G188" t="s">
        <v>490</v>
      </c>
      <c r="H188" t="s">
        <v>492</v>
      </c>
      <c r="I188">
        <v>2</v>
      </c>
      <c r="J188">
        <v>594</v>
      </c>
      <c r="K188">
        <v>0</v>
      </c>
      <c r="L188">
        <v>2</v>
      </c>
      <c r="M188" s="6">
        <v>1188</v>
      </c>
    </row>
    <row r="189" spans="1:13" x14ac:dyDescent="0.3">
      <c r="A189" t="s">
        <v>200</v>
      </c>
      <c r="B189" s="4">
        <v>45479</v>
      </c>
      <c r="C189" t="s">
        <v>316</v>
      </c>
      <c r="D189" t="s">
        <v>481</v>
      </c>
      <c r="E189">
        <v>36</v>
      </c>
      <c r="F189" t="s">
        <v>483</v>
      </c>
      <c r="G189" t="s">
        <v>487</v>
      </c>
      <c r="H189" t="s">
        <v>493</v>
      </c>
      <c r="I189">
        <v>1</v>
      </c>
      <c r="J189">
        <v>3988</v>
      </c>
      <c r="K189">
        <v>15</v>
      </c>
      <c r="L189">
        <v>9</v>
      </c>
      <c r="M189" s="6">
        <v>3389.8</v>
      </c>
    </row>
    <row r="190" spans="1:13" x14ac:dyDescent="0.3">
      <c r="A190" t="s">
        <v>201</v>
      </c>
      <c r="B190" s="4">
        <v>45480</v>
      </c>
      <c r="C190" t="s">
        <v>406</v>
      </c>
      <c r="D190" t="s">
        <v>482</v>
      </c>
      <c r="E190">
        <v>33</v>
      </c>
      <c r="F190" t="s">
        <v>485</v>
      </c>
      <c r="G190" t="s">
        <v>487</v>
      </c>
      <c r="H190" t="s">
        <v>495</v>
      </c>
      <c r="I190">
        <v>4</v>
      </c>
      <c r="J190">
        <v>2968</v>
      </c>
      <c r="K190">
        <v>5</v>
      </c>
      <c r="L190">
        <v>2</v>
      </c>
      <c r="M190" s="6">
        <v>11278.4</v>
      </c>
    </row>
    <row r="191" spans="1:13" x14ac:dyDescent="0.3">
      <c r="A191" t="s">
        <v>202</v>
      </c>
      <c r="B191" s="4">
        <v>45481</v>
      </c>
      <c r="C191" t="s">
        <v>397</v>
      </c>
      <c r="D191" t="s">
        <v>482</v>
      </c>
      <c r="E191">
        <v>22</v>
      </c>
      <c r="F191" t="s">
        <v>484</v>
      </c>
      <c r="G191" t="s">
        <v>487</v>
      </c>
      <c r="H191" t="s">
        <v>492</v>
      </c>
      <c r="I191">
        <v>5</v>
      </c>
      <c r="J191">
        <v>4367</v>
      </c>
      <c r="K191">
        <v>5</v>
      </c>
      <c r="L191">
        <v>2</v>
      </c>
      <c r="M191" s="6">
        <v>20743.25</v>
      </c>
    </row>
    <row r="192" spans="1:13" x14ac:dyDescent="0.3">
      <c r="A192" t="s">
        <v>203</v>
      </c>
      <c r="B192" s="4">
        <v>45482</v>
      </c>
      <c r="C192" t="s">
        <v>366</v>
      </c>
      <c r="D192" t="s">
        <v>481</v>
      </c>
      <c r="E192">
        <v>52</v>
      </c>
      <c r="F192" t="s">
        <v>484</v>
      </c>
      <c r="G192" t="s">
        <v>487</v>
      </c>
      <c r="H192" t="s">
        <v>493</v>
      </c>
      <c r="I192">
        <v>1</v>
      </c>
      <c r="J192">
        <v>4060</v>
      </c>
      <c r="K192">
        <v>0</v>
      </c>
      <c r="L192">
        <v>8</v>
      </c>
      <c r="M192" s="6">
        <v>4060</v>
      </c>
    </row>
    <row r="193" spans="1:13" x14ac:dyDescent="0.3">
      <c r="A193" t="s">
        <v>204</v>
      </c>
      <c r="B193" s="4">
        <v>45483</v>
      </c>
      <c r="C193" t="s">
        <v>438</v>
      </c>
      <c r="D193" t="s">
        <v>482</v>
      </c>
      <c r="E193">
        <v>29</v>
      </c>
      <c r="F193" t="s">
        <v>484</v>
      </c>
      <c r="G193" t="s">
        <v>487</v>
      </c>
      <c r="H193" t="s">
        <v>493</v>
      </c>
      <c r="I193">
        <v>1</v>
      </c>
      <c r="J193">
        <v>473</v>
      </c>
      <c r="K193">
        <v>0</v>
      </c>
      <c r="L193">
        <v>9</v>
      </c>
      <c r="M193" s="6">
        <v>473</v>
      </c>
    </row>
    <row r="194" spans="1:13" x14ac:dyDescent="0.3">
      <c r="A194" t="s">
        <v>205</v>
      </c>
      <c r="B194" s="4">
        <v>45484</v>
      </c>
      <c r="C194" t="s">
        <v>439</v>
      </c>
      <c r="D194" t="s">
        <v>481</v>
      </c>
      <c r="E194">
        <v>42</v>
      </c>
      <c r="F194" t="s">
        <v>484</v>
      </c>
      <c r="G194" t="s">
        <v>491</v>
      </c>
      <c r="H194" t="s">
        <v>495</v>
      </c>
      <c r="I194">
        <v>3</v>
      </c>
      <c r="J194">
        <v>2213</v>
      </c>
      <c r="K194">
        <v>0</v>
      </c>
      <c r="L194">
        <v>7</v>
      </c>
      <c r="M194" s="6">
        <v>6639</v>
      </c>
    </row>
    <row r="195" spans="1:13" x14ac:dyDescent="0.3">
      <c r="A195" t="s">
        <v>206</v>
      </c>
      <c r="B195" s="4">
        <v>45485</v>
      </c>
      <c r="C195" t="s">
        <v>440</v>
      </c>
      <c r="D195" t="s">
        <v>482</v>
      </c>
      <c r="E195">
        <v>38</v>
      </c>
      <c r="F195" t="s">
        <v>483</v>
      </c>
      <c r="G195" t="s">
        <v>490</v>
      </c>
      <c r="H195" t="s">
        <v>493</v>
      </c>
      <c r="I195">
        <v>5</v>
      </c>
      <c r="J195">
        <v>4633</v>
      </c>
      <c r="K195">
        <v>0</v>
      </c>
      <c r="L195">
        <v>3</v>
      </c>
      <c r="M195" s="6">
        <v>23165</v>
      </c>
    </row>
    <row r="196" spans="1:13" x14ac:dyDescent="0.3">
      <c r="A196" t="s">
        <v>207</v>
      </c>
      <c r="B196" s="4">
        <v>45486</v>
      </c>
      <c r="C196" t="s">
        <v>441</v>
      </c>
      <c r="D196" t="s">
        <v>481</v>
      </c>
      <c r="E196">
        <v>53</v>
      </c>
      <c r="F196" t="s">
        <v>483</v>
      </c>
      <c r="G196" t="s">
        <v>488</v>
      </c>
      <c r="H196" t="s">
        <v>493</v>
      </c>
      <c r="I196">
        <v>2</v>
      </c>
      <c r="J196">
        <v>1589</v>
      </c>
      <c r="K196">
        <v>5</v>
      </c>
      <c r="L196">
        <v>9</v>
      </c>
      <c r="M196" s="6">
        <v>3019.1</v>
      </c>
    </row>
    <row r="197" spans="1:13" x14ac:dyDescent="0.3">
      <c r="A197" t="s">
        <v>208</v>
      </c>
      <c r="B197" s="4">
        <v>45487</v>
      </c>
      <c r="C197" t="s">
        <v>442</v>
      </c>
      <c r="D197" t="s">
        <v>482</v>
      </c>
      <c r="E197">
        <v>40</v>
      </c>
      <c r="F197" t="s">
        <v>486</v>
      </c>
      <c r="G197" t="s">
        <v>488</v>
      </c>
      <c r="H197" t="s">
        <v>495</v>
      </c>
      <c r="I197">
        <v>4</v>
      </c>
      <c r="J197">
        <v>3766</v>
      </c>
      <c r="K197">
        <v>5</v>
      </c>
      <c r="L197">
        <v>3</v>
      </c>
      <c r="M197" s="6">
        <v>14310.8</v>
      </c>
    </row>
    <row r="198" spans="1:13" x14ac:dyDescent="0.3">
      <c r="A198" t="s">
        <v>209</v>
      </c>
      <c r="B198" s="4">
        <v>45488</v>
      </c>
      <c r="C198" t="s">
        <v>443</v>
      </c>
      <c r="D198" t="s">
        <v>481</v>
      </c>
      <c r="E198">
        <v>33</v>
      </c>
      <c r="F198" t="s">
        <v>486</v>
      </c>
      <c r="G198" t="s">
        <v>488</v>
      </c>
      <c r="H198" t="s">
        <v>492</v>
      </c>
      <c r="I198">
        <v>2</v>
      </c>
      <c r="J198">
        <v>4902</v>
      </c>
      <c r="K198">
        <v>10</v>
      </c>
      <c r="L198">
        <v>5</v>
      </c>
      <c r="M198" s="6">
        <v>8823.6</v>
      </c>
    </row>
    <row r="199" spans="1:13" x14ac:dyDescent="0.3">
      <c r="A199" t="s">
        <v>210</v>
      </c>
      <c r="B199" s="4">
        <v>45489</v>
      </c>
      <c r="C199" t="s">
        <v>381</v>
      </c>
      <c r="D199" t="s">
        <v>482</v>
      </c>
      <c r="E199">
        <v>56</v>
      </c>
      <c r="F199" t="s">
        <v>484</v>
      </c>
      <c r="G199" t="s">
        <v>488</v>
      </c>
      <c r="H199" t="s">
        <v>493</v>
      </c>
      <c r="I199">
        <v>5</v>
      </c>
      <c r="J199">
        <v>365</v>
      </c>
      <c r="K199">
        <v>10</v>
      </c>
      <c r="L199">
        <v>9</v>
      </c>
      <c r="M199" s="6">
        <v>1642.5</v>
      </c>
    </row>
    <row r="200" spans="1:13" x14ac:dyDescent="0.3">
      <c r="A200" t="s">
        <v>211</v>
      </c>
      <c r="B200" s="4">
        <v>45490</v>
      </c>
      <c r="C200" t="s">
        <v>444</v>
      </c>
      <c r="D200" t="s">
        <v>481</v>
      </c>
      <c r="E200">
        <v>59</v>
      </c>
      <c r="F200" t="s">
        <v>484</v>
      </c>
      <c r="G200" t="s">
        <v>491</v>
      </c>
      <c r="H200" t="s">
        <v>493</v>
      </c>
      <c r="I200">
        <v>1</v>
      </c>
      <c r="J200">
        <v>1767</v>
      </c>
      <c r="K200">
        <v>15</v>
      </c>
      <c r="L200">
        <v>3</v>
      </c>
      <c r="M200" s="6">
        <v>1501.95</v>
      </c>
    </row>
    <row r="201" spans="1:13" x14ac:dyDescent="0.3">
      <c r="A201" t="s">
        <v>212</v>
      </c>
      <c r="B201" s="4">
        <v>45491</v>
      </c>
      <c r="C201" t="s">
        <v>445</v>
      </c>
      <c r="D201" t="s">
        <v>482</v>
      </c>
      <c r="E201">
        <v>56</v>
      </c>
      <c r="F201" t="s">
        <v>484</v>
      </c>
      <c r="G201" t="s">
        <v>489</v>
      </c>
      <c r="H201" t="s">
        <v>493</v>
      </c>
      <c r="I201">
        <v>1</v>
      </c>
      <c r="J201">
        <v>928</v>
      </c>
      <c r="K201">
        <v>10</v>
      </c>
      <c r="L201">
        <v>7</v>
      </c>
      <c r="M201" s="6">
        <v>835.2</v>
      </c>
    </row>
    <row r="202" spans="1:13" x14ac:dyDescent="0.3">
      <c r="A202" t="s">
        <v>213</v>
      </c>
      <c r="B202" s="4">
        <v>45492</v>
      </c>
      <c r="C202" t="s">
        <v>446</v>
      </c>
      <c r="D202" t="s">
        <v>481</v>
      </c>
      <c r="E202">
        <v>31</v>
      </c>
      <c r="F202" t="s">
        <v>486</v>
      </c>
      <c r="G202" t="s">
        <v>490</v>
      </c>
      <c r="H202" t="s">
        <v>494</v>
      </c>
      <c r="I202">
        <v>5</v>
      </c>
      <c r="J202">
        <v>2243</v>
      </c>
      <c r="K202">
        <v>0</v>
      </c>
      <c r="L202">
        <v>1</v>
      </c>
      <c r="M202" s="6">
        <v>11215</v>
      </c>
    </row>
    <row r="203" spans="1:13" x14ac:dyDescent="0.3">
      <c r="A203" t="s">
        <v>214</v>
      </c>
      <c r="B203" s="4">
        <v>45493</v>
      </c>
      <c r="C203" t="s">
        <v>447</v>
      </c>
      <c r="D203" t="s">
        <v>481</v>
      </c>
      <c r="E203">
        <v>48</v>
      </c>
      <c r="F203" t="s">
        <v>485</v>
      </c>
      <c r="G203" t="s">
        <v>487</v>
      </c>
      <c r="H203" t="s">
        <v>495</v>
      </c>
      <c r="I203">
        <v>1</v>
      </c>
      <c r="J203">
        <v>4397</v>
      </c>
      <c r="K203">
        <v>0</v>
      </c>
      <c r="L203">
        <v>4</v>
      </c>
      <c r="M203" s="6">
        <v>4397</v>
      </c>
    </row>
    <row r="204" spans="1:13" x14ac:dyDescent="0.3">
      <c r="A204" t="s">
        <v>215</v>
      </c>
      <c r="B204" s="4">
        <v>45494</v>
      </c>
      <c r="C204" t="s">
        <v>448</v>
      </c>
      <c r="D204" t="s">
        <v>481</v>
      </c>
      <c r="E204">
        <v>22</v>
      </c>
      <c r="F204" t="s">
        <v>485</v>
      </c>
      <c r="G204" t="s">
        <v>489</v>
      </c>
      <c r="H204" t="s">
        <v>494</v>
      </c>
      <c r="I204">
        <v>1</v>
      </c>
      <c r="J204">
        <v>3696</v>
      </c>
      <c r="K204">
        <v>0</v>
      </c>
      <c r="L204">
        <v>4</v>
      </c>
      <c r="M204" s="6">
        <v>3696</v>
      </c>
    </row>
    <row r="205" spans="1:13" x14ac:dyDescent="0.3">
      <c r="A205" t="s">
        <v>216</v>
      </c>
      <c r="B205" s="4">
        <v>45495</v>
      </c>
      <c r="C205" t="s">
        <v>304</v>
      </c>
      <c r="D205" t="s">
        <v>482</v>
      </c>
      <c r="E205">
        <v>52</v>
      </c>
      <c r="F205" t="s">
        <v>486</v>
      </c>
      <c r="G205" t="s">
        <v>488</v>
      </c>
      <c r="H205" t="s">
        <v>495</v>
      </c>
      <c r="I205">
        <v>1</v>
      </c>
      <c r="J205">
        <v>978</v>
      </c>
      <c r="K205">
        <v>0</v>
      </c>
      <c r="L205">
        <v>7</v>
      </c>
      <c r="M205" s="6">
        <v>978</v>
      </c>
    </row>
    <row r="206" spans="1:13" x14ac:dyDescent="0.3">
      <c r="A206" t="s">
        <v>217</v>
      </c>
      <c r="B206" s="4">
        <v>45496</v>
      </c>
      <c r="C206" t="s">
        <v>449</v>
      </c>
      <c r="D206" t="s">
        <v>481</v>
      </c>
      <c r="E206">
        <v>40</v>
      </c>
      <c r="F206" t="s">
        <v>486</v>
      </c>
      <c r="G206" t="s">
        <v>489</v>
      </c>
      <c r="H206" t="s">
        <v>492</v>
      </c>
      <c r="I206">
        <v>4</v>
      </c>
      <c r="J206">
        <v>413</v>
      </c>
      <c r="K206">
        <v>10</v>
      </c>
      <c r="L206">
        <v>8</v>
      </c>
      <c r="M206" s="6">
        <v>1486.8</v>
      </c>
    </row>
    <row r="207" spans="1:13" x14ac:dyDescent="0.3">
      <c r="A207" t="s">
        <v>218</v>
      </c>
      <c r="B207" s="4">
        <v>45497</v>
      </c>
      <c r="C207" t="s">
        <v>407</v>
      </c>
      <c r="D207" t="s">
        <v>482</v>
      </c>
      <c r="E207">
        <v>46</v>
      </c>
      <c r="F207" t="s">
        <v>486</v>
      </c>
      <c r="G207" t="s">
        <v>490</v>
      </c>
      <c r="H207" t="s">
        <v>492</v>
      </c>
      <c r="I207">
        <v>4</v>
      </c>
      <c r="J207">
        <v>3962</v>
      </c>
      <c r="K207">
        <v>15</v>
      </c>
      <c r="L207">
        <v>1</v>
      </c>
      <c r="M207" s="6">
        <v>13470.8</v>
      </c>
    </row>
    <row r="208" spans="1:13" x14ac:dyDescent="0.3">
      <c r="A208" t="s">
        <v>219</v>
      </c>
      <c r="B208" s="4">
        <v>45498</v>
      </c>
      <c r="C208" t="s">
        <v>450</v>
      </c>
      <c r="D208" t="s">
        <v>481</v>
      </c>
      <c r="E208">
        <v>28</v>
      </c>
      <c r="F208" t="s">
        <v>486</v>
      </c>
      <c r="G208" t="s">
        <v>487</v>
      </c>
      <c r="H208" t="s">
        <v>493</v>
      </c>
      <c r="I208">
        <v>3</v>
      </c>
      <c r="J208">
        <v>1776</v>
      </c>
      <c r="K208">
        <v>0</v>
      </c>
      <c r="L208">
        <v>5</v>
      </c>
      <c r="M208" s="6">
        <v>5328</v>
      </c>
    </row>
    <row r="209" spans="1:13" x14ac:dyDescent="0.3">
      <c r="A209" t="s">
        <v>220</v>
      </c>
      <c r="B209" s="4">
        <v>45499</v>
      </c>
      <c r="C209" t="s">
        <v>447</v>
      </c>
      <c r="D209" t="s">
        <v>482</v>
      </c>
      <c r="E209">
        <v>35</v>
      </c>
      <c r="F209" t="s">
        <v>486</v>
      </c>
      <c r="G209" t="s">
        <v>487</v>
      </c>
      <c r="H209" t="s">
        <v>495</v>
      </c>
      <c r="I209">
        <v>2</v>
      </c>
      <c r="J209">
        <v>2648</v>
      </c>
      <c r="K209">
        <v>0</v>
      </c>
      <c r="L209">
        <v>7</v>
      </c>
      <c r="M209" s="6">
        <v>5296</v>
      </c>
    </row>
    <row r="210" spans="1:13" x14ac:dyDescent="0.3">
      <c r="A210" t="s">
        <v>221</v>
      </c>
      <c r="B210" s="4">
        <v>45500</v>
      </c>
      <c r="C210" t="s">
        <v>398</v>
      </c>
      <c r="D210" t="s">
        <v>481</v>
      </c>
      <c r="E210">
        <v>29</v>
      </c>
      <c r="F210" t="s">
        <v>486</v>
      </c>
      <c r="G210" t="s">
        <v>490</v>
      </c>
      <c r="H210" t="s">
        <v>492</v>
      </c>
      <c r="I210">
        <v>5</v>
      </c>
      <c r="J210">
        <v>3136</v>
      </c>
      <c r="K210">
        <v>0</v>
      </c>
      <c r="L210">
        <v>4</v>
      </c>
      <c r="M210" s="6">
        <v>15680</v>
      </c>
    </row>
    <row r="211" spans="1:13" x14ac:dyDescent="0.3">
      <c r="A211" t="s">
        <v>222</v>
      </c>
      <c r="B211" s="4">
        <v>45501</v>
      </c>
      <c r="C211" t="s">
        <v>451</v>
      </c>
      <c r="D211" t="s">
        <v>482</v>
      </c>
      <c r="E211">
        <v>26</v>
      </c>
      <c r="F211" t="s">
        <v>484</v>
      </c>
      <c r="G211" t="s">
        <v>490</v>
      </c>
      <c r="H211" t="s">
        <v>495</v>
      </c>
      <c r="I211">
        <v>5</v>
      </c>
      <c r="J211">
        <v>3317</v>
      </c>
      <c r="K211">
        <v>0</v>
      </c>
      <c r="L211">
        <v>4</v>
      </c>
      <c r="M211" s="6">
        <v>16585</v>
      </c>
    </row>
    <row r="212" spans="1:13" x14ac:dyDescent="0.3">
      <c r="A212" t="s">
        <v>223</v>
      </c>
      <c r="B212" s="4">
        <v>45502</v>
      </c>
      <c r="C212" t="s">
        <v>352</v>
      </c>
      <c r="D212" t="s">
        <v>482</v>
      </c>
      <c r="E212">
        <v>27</v>
      </c>
      <c r="F212" t="s">
        <v>484</v>
      </c>
      <c r="G212" t="s">
        <v>488</v>
      </c>
      <c r="H212" t="s">
        <v>492</v>
      </c>
      <c r="I212">
        <v>5</v>
      </c>
      <c r="J212">
        <v>791</v>
      </c>
      <c r="K212">
        <v>0</v>
      </c>
      <c r="L212">
        <v>4</v>
      </c>
      <c r="M212" s="6">
        <v>3955</v>
      </c>
    </row>
    <row r="213" spans="1:13" x14ac:dyDescent="0.3">
      <c r="A213" t="s">
        <v>224</v>
      </c>
      <c r="B213" s="4">
        <v>45503</v>
      </c>
      <c r="C213" t="s">
        <v>331</v>
      </c>
      <c r="D213" t="s">
        <v>481</v>
      </c>
      <c r="E213">
        <v>34</v>
      </c>
      <c r="F213" t="s">
        <v>484</v>
      </c>
      <c r="G213" t="s">
        <v>487</v>
      </c>
      <c r="H213" t="s">
        <v>494</v>
      </c>
      <c r="I213">
        <v>3</v>
      </c>
      <c r="J213">
        <v>2920</v>
      </c>
      <c r="K213">
        <v>0</v>
      </c>
      <c r="L213">
        <v>6</v>
      </c>
      <c r="M213" s="6">
        <v>8760</v>
      </c>
    </row>
    <row r="214" spans="1:13" x14ac:dyDescent="0.3">
      <c r="A214" t="s">
        <v>225</v>
      </c>
      <c r="B214" s="4">
        <v>45504</v>
      </c>
      <c r="C214" t="s">
        <v>452</v>
      </c>
      <c r="D214" t="s">
        <v>482</v>
      </c>
      <c r="E214">
        <v>55</v>
      </c>
      <c r="F214" t="s">
        <v>484</v>
      </c>
      <c r="G214" t="s">
        <v>489</v>
      </c>
      <c r="H214" t="s">
        <v>492</v>
      </c>
      <c r="I214">
        <v>4</v>
      </c>
      <c r="J214">
        <v>913</v>
      </c>
      <c r="K214">
        <v>5</v>
      </c>
      <c r="L214">
        <v>7</v>
      </c>
      <c r="M214" s="6">
        <v>3469.4</v>
      </c>
    </row>
    <row r="215" spans="1:13" x14ac:dyDescent="0.3">
      <c r="A215" t="s">
        <v>226</v>
      </c>
      <c r="B215" s="4">
        <v>45505</v>
      </c>
      <c r="C215" t="s">
        <v>275</v>
      </c>
      <c r="D215" t="s">
        <v>482</v>
      </c>
      <c r="E215">
        <v>24</v>
      </c>
      <c r="F215" t="s">
        <v>486</v>
      </c>
      <c r="G215" t="s">
        <v>491</v>
      </c>
      <c r="H215" t="s">
        <v>494</v>
      </c>
      <c r="I215">
        <v>3</v>
      </c>
      <c r="J215">
        <v>1135</v>
      </c>
      <c r="K215">
        <v>0</v>
      </c>
      <c r="L215">
        <v>2</v>
      </c>
      <c r="M215" s="6">
        <v>3405</v>
      </c>
    </row>
    <row r="216" spans="1:13" x14ac:dyDescent="0.3">
      <c r="A216" t="s">
        <v>227</v>
      </c>
      <c r="B216" s="4">
        <v>45506</v>
      </c>
      <c r="C216" t="s">
        <v>453</v>
      </c>
      <c r="D216" t="s">
        <v>481</v>
      </c>
      <c r="E216">
        <v>30</v>
      </c>
      <c r="F216" t="s">
        <v>485</v>
      </c>
      <c r="G216" t="s">
        <v>491</v>
      </c>
      <c r="H216" t="s">
        <v>492</v>
      </c>
      <c r="I216">
        <v>5</v>
      </c>
      <c r="J216">
        <v>4537</v>
      </c>
      <c r="K216">
        <v>0</v>
      </c>
      <c r="L216">
        <v>5</v>
      </c>
      <c r="M216" s="6">
        <v>22685</v>
      </c>
    </row>
    <row r="217" spans="1:13" x14ac:dyDescent="0.3">
      <c r="A217" t="s">
        <v>228</v>
      </c>
      <c r="B217" s="4">
        <v>45507</v>
      </c>
      <c r="C217" t="s">
        <v>454</v>
      </c>
      <c r="D217" t="s">
        <v>482</v>
      </c>
      <c r="E217">
        <v>57</v>
      </c>
      <c r="F217" t="s">
        <v>483</v>
      </c>
      <c r="G217" t="s">
        <v>490</v>
      </c>
      <c r="H217" t="s">
        <v>493</v>
      </c>
      <c r="I217">
        <v>2</v>
      </c>
      <c r="J217">
        <v>201</v>
      </c>
      <c r="K217">
        <v>0</v>
      </c>
      <c r="L217">
        <v>4</v>
      </c>
      <c r="M217" s="6">
        <v>402</v>
      </c>
    </row>
    <row r="218" spans="1:13" x14ac:dyDescent="0.3">
      <c r="A218" t="s">
        <v>229</v>
      </c>
      <c r="B218" s="4">
        <v>45508</v>
      </c>
      <c r="C218" t="s">
        <v>455</v>
      </c>
      <c r="D218" t="s">
        <v>482</v>
      </c>
      <c r="E218">
        <v>59</v>
      </c>
      <c r="F218" t="s">
        <v>486</v>
      </c>
      <c r="G218" t="s">
        <v>488</v>
      </c>
      <c r="H218" t="s">
        <v>494</v>
      </c>
      <c r="I218">
        <v>1</v>
      </c>
      <c r="J218">
        <v>3048</v>
      </c>
      <c r="K218">
        <v>15</v>
      </c>
      <c r="L218">
        <v>3</v>
      </c>
      <c r="M218" s="6">
        <v>2590.8000000000002</v>
      </c>
    </row>
    <row r="219" spans="1:13" x14ac:dyDescent="0.3">
      <c r="A219" t="s">
        <v>230</v>
      </c>
      <c r="B219" s="4">
        <v>45509</v>
      </c>
      <c r="C219" t="s">
        <v>456</v>
      </c>
      <c r="D219" t="s">
        <v>482</v>
      </c>
      <c r="E219">
        <v>26</v>
      </c>
      <c r="F219" t="s">
        <v>483</v>
      </c>
      <c r="G219" t="s">
        <v>491</v>
      </c>
      <c r="H219" t="s">
        <v>492</v>
      </c>
      <c r="I219">
        <v>4</v>
      </c>
      <c r="J219">
        <v>4244</v>
      </c>
      <c r="K219">
        <v>5</v>
      </c>
      <c r="L219">
        <v>7</v>
      </c>
      <c r="M219" s="6">
        <v>16127.2</v>
      </c>
    </row>
    <row r="220" spans="1:13" x14ac:dyDescent="0.3">
      <c r="A220" t="s">
        <v>231</v>
      </c>
      <c r="B220" s="4">
        <v>45510</v>
      </c>
      <c r="C220" t="s">
        <v>397</v>
      </c>
      <c r="D220" t="s">
        <v>481</v>
      </c>
      <c r="E220">
        <v>44</v>
      </c>
      <c r="F220" t="s">
        <v>485</v>
      </c>
      <c r="G220" t="s">
        <v>487</v>
      </c>
      <c r="H220" t="s">
        <v>493</v>
      </c>
      <c r="I220">
        <v>4</v>
      </c>
      <c r="J220">
        <v>2149</v>
      </c>
      <c r="K220">
        <v>0</v>
      </c>
      <c r="L220">
        <v>6</v>
      </c>
      <c r="M220" s="6">
        <v>8596</v>
      </c>
    </row>
    <row r="221" spans="1:13" x14ac:dyDescent="0.3">
      <c r="A221" t="s">
        <v>232</v>
      </c>
      <c r="B221" s="4">
        <v>45511</v>
      </c>
      <c r="C221" t="s">
        <v>308</v>
      </c>
      <c r="D221" t="s">
        <v>482</v>
      </c>
      <c r="E221">
        <v>19</v>
      </c>
      <c r="F221" t="s">
        <v>484</v>
      </c>
      <c r="G221" t="s">
        <v>490</v>
      </c>
      <c r="H221" t="s">
        <v>494</v>
      </c>
      <c r="I221">
        <v>3</v>
      </c>
      <c r="J221">
        <v>1117</v>
      </c>
      <c r="K221">
        <v>10</v>
      </c>
      <c r="L221">
        <v>7</v>
      </c>
      <c r="M221" s="6">
        <v>3015.9</v>
      </c>
    </row>
    <row r="222" spans="1:13" x14ac:dyDescent="0.3">
      <c r="A222" t="s">
        <v>233</v>
      </c>
      <c r="B222" s="4">
        <v>45512</v>
      </c>
      <c r="C222" t="s">
        <v>457</v>
      </c>
      <c r="D222" t="s">
        <v>481</v>
      </c>
      <c r="E222">
        <v>22</v>
      </c>
      <c r="F222" t="s">
        <v>485</v>
      </c>
      <c r="G222" t="s">
        <v>489</v>
      </c>
      <c r="H222" t="s">
        <v>493</v>
      </c>
      <c r="I222">
        <v>4</v>
      </c>
      <c r="J222">
        <v>3374</v>
      </c>
      <c r="K222">
        <v>10</v>
      </c>
      <c r="L222">
        <v>5</v>
      </c>
      <c r="M222" s="6">
        <v>12146.4</v>
      </c>
    </row>
    <row r="223" spans="1:13" x14ac:dyDescent="0.3">
      <c r="A223" t="s">
        <v>234</v>
      </c>
      <c r="B223" s="4">
        <v>45513</v>
      </c>
      <c r="C223" t="s">
        <v>458</v>
      </c>
      <c r="D223" t="s">
        <v>482</v>
      </c>
      <c r="E223">
        <v>46</v>
      </c>
      <c r="F223" t="s">
        <v>486</v>
      </c>
      <c r="G223" t="s">
        <v>490</v>
      </c>
      <c r="H223" t="s">
        <v>495</v>
      </c>
      <c r="I223">
        <v>5</v>
      </c>
      <c r="J223">
        <v>2441</v>
      </c>
      <c r="K223">
        <v>0</v>
      </c>
      <c r="L223">
        <v>6</v>
      </c>
      <c r="M223" s="6">
        <v>12205</v>
      </c>
    </row>
    <row r="224" spans="1:13" x14ac:dyDescent="0.3">
      <c r="A224" t="s">
        <v>235</v>
      </c>
      <c r="B224" s="4">
        <v>45514</v>
      </c>
      <c r="C224" t="s">
        <v>459</v>
      </c>
      <c r="D224" t="s">
        <v>482</v>
      </c>
      <c r="E224">
        <v>54</v>
      </c>
      <c r="F224" t="s">
        <v>484</v>
      </c>
      <c r="G224" t="s">
        <v>489</v>
      </c>
      <c r="H224" t="s">
        <v>495</v>
      </c>
      <c r="I224">
        <v>5</v>
      </c>
      <c r="J224">
        <v>289</v>
      </c>
      <c r="K224">
        <v>5</v>
      </c>
      <c r="L224">
        <v>5</v>
      </c>
      <c r="M224" s="6">
        <v>1372.75</v>
      </c>
    </row>
    <row r="225" spans="1:13" x14ac:dyDescent="0.3">
      <c r="A225" t="s">
        <v>236</v>
      </c>
      <c r="B225" s="4">
        <v>45515</v>
      </c>
      <c r="C225" t="s">
        <v>460</v>
      </c>
      <c r="D225" t="s">
        <v>482</v>
      </c>
      <c r="E225">
        <v>55</v>
      </c>
      <c r="F225" t="s">
        <v>486</v>
      </c>
      <c r="G225" t="s">
        <v>490</v>
      </c>
      <c r="H225" t="s">
        <v>494</v>
      </c>
      <c r="I225">
        <v>3</v>
      </c>
      <c r="J225">
        <v>1909</v>
      </c>
      <c r="K225">
        <v>0</v>
      </c>
      <c r="L225">
        <v>7</v>
      </c>
      <c r="M225" s="6">
        <v>5727</v>
      </c>
    </row>
    <row r="226" spans="1:13" x14ac:dyDescent="0.3">
      <c r="A226" t="s">
        <v>237</v>
      </c>
      <c r="B226" s="4">
        <v>45516</v>
      </c>
      <c r="C226" t="s">
        <v>461</v>
      </c>
      <c r="D226" t="s">
        <v>481</v>
      </c>
      <c r="E226">
        <v>36</v>
      </c>
      <c r="F226" t="s">
        <v>484</v>
      </c>
      <c r="G226" t="s">
        <v>490</v>
      </c>
      <c r="H226" t="s">
        <v>492</v>
      </c>
      <c r="I226">
        <v>5</v>
      </c>
      <c r="J226">
        <v>2369</v>
      </c>
      <c r="K226">
        <v>0</v>
      </c>
      <c r="L226">
        <v>2</v>
      </c>
      <c r="M226" s="6">
        <v>11845</v>
      </c>
    </row>
    <row r="227" spans="1:13" x14ac:dyDescent="0.3">
      <c r="A227" t="s">
        <v>238</v>
      </c>
      <c r="B227" s="4">
        <v>45517</v>
      </c>
      <c r="C227" t="s">
        <v>462</v>
      </c>
      <c r="D227" t="s">
        <v>482</v>
      </c>
      <c r="E227">
        <v>25</v>
      </c>
      <c r="F227" t="s">
        <v>483</v>
      </c>
      <c r="G227" t="s">
        <v>490</v>
      </c>
      <c r="H227" t="s">
        <v>494</v>
      </c>
      <c r="I227">
        <v>2</v>
      </c>
      <c r="J227">
        <v>4438</v>
      </c>
      <c r="K227">
        <v>10</v>
      </c>
      <c r="L227">
        <v>5</v>
      </c>
      <c r="M227" s="6">
        <v>7988.4000000000005</v>
      </c>
    </row>
    <row r="228" spans="1:13" x14ac:dyDescent="0.3">
      <c r="A228" t="s">
        <v>239</v>
      </c>
      <c r="B228" s="4">
        <v>45518</v>
      </c>
      <c r="C228" t="s">
        <v>463</v>
      </c>
      <c r="D228" t="s">
        <v>482</v>
      </c>
      <c r="E228">
        <v>18</v>
      </c>
      <c r="F228" t="s">
        <v>483</v>
      </c>
      <c r="G228" t="s">
        <v>489</v>
      </c>
      <c r="H228" t="s">
        <v>493</v>
      </c>
      <c r="I228">
        <v>3</v>
      </c>
      <c r="J228">
        <v>3241</v>
      </c>
      <c r="K228">
        <v>0</v>
      </c>
      <c r="L228">
        <v>6</v>
      </c>
      <c r="M228" s="6">
        <v>9723</v>
      </c>
    </row>
    <row r="229" spans="1:13" x14ac:dyDescent="0.3">
      <c r="A229" t="s">
        <v>240</v>
      </c>
      <c r="B229" s="4">
        <v>45519</v>
      </c>
      <c r="C229" t="s">
        <v>464</v>
      </c>
      <c r="D229" t="s">
        <v>481</v>
      </c>
      <c r="E229">
        <v>39</v>
      </c>
      <c r="F229" t="s">
        <v>483</v>
      </c>
      <c r="G229" t="s">
        <v>489</v>
      </c>
      <c r="H229" t="s">
        <v>492</v>
      </c>
      <c r="I229">
        <v>2</v>
      </c>
      <c r="J229">
        <v>305</v>
      </c>
      <c r="K229">
        <v>5</v>
      </c>
      <c r="L229">
        <v>6</v>
      </c>
      <c r="M229" s="6">
        <v>579.5</v>
      </c>
    </row>
    <row r="230" spans="1:13" x14ac:dyDescent="0.3">
      <c r="A230" t="s">
        <v>241</v>
      </c>
      <c r="B230" s="4">
        <v>45520</v>
      </c>
      <c r="C230" t="s">
        <v>465</v>
      </c>
      <c r="D230" t="s">
        <v>482</v>
      </c>
      <c r="E230">
        <v>34</v>
      </c>
      <c r="F230" t="s">
        <v>485</v>
      </c>
      <c r="G230" t="s">
        <v>490</v>
      </c>
      <c r="H230" t="s">
        <v>495</v>
      </c>
      <c r="I230">
        <v>1</v>
      </c>
      <c r="J230">
        <v>1086</v>
      </c>
      <c r="K230">
        <v>10</v>
      </c>
      <c r="L230">
        <v>5</v>
      </c>
      <c r="M230" s="6">
        <v>977.4</v>
      </c>
    </row>
    <row r="231" spans="1:13" x14ac:dyDescent="0.3">
      <c r="A231" t="s">
        <v>242</v>
      </c>
      <c r="B231" s="4">
        <v>45521</v>
      </c>
      <c r="C231" t="s">
        <v>466</v>
      </c>
      <c r="D231" t="s">
        <v>481</v>
      </c>
      <c r="E231">
        <v>24</v>
      </c>
      <c r="F231" t="s">
        <v>486</v>
      </c>
      <c r="G231" t="s">
        <v>491</v>
      </c>
      <c r="H231" t="s">
        <v>492</v>
      </c>
      <c r="I231">
        <v>2</v>
      </c>
      <c r="J231">
        <v>627</v>
      </c>
      <c r="K231">
        <v>0</v>
      </c>
      <c r="L231">
        <v>7</v>
      </c>
      <c r="M231" s="6">
        <v>1254</v>
      </c>
    </row>
    <row r="232" spans="1:13" x14ac:dyDescent="0.3">
      <c r="A232" t="s">
        <v>243</v>
      </c>
      <c r="B232" s="4">
        <v>45522</v>
      </c>
      <c r="C232" t="s">
        <v>358</v>
      </c>
      <c r="D232" t="s">
        <v>481</v>
      </c>
      <c r="E232">
        <v>42</v>
      </c>
      <c r="F232" t="s">
        <v>485</v>
      </c>
      <c r="G232" t="s">
        <v>488</v>
      </c>
      <c r="H232" t="s">
        <v>495</v>
      </c>
      <c r="I232">
        <v>1</v>
      </c>
      <c r="J232">
        <v>2095</v>
      </c>
      <c r="K232">
        <v>5</v>
      </c>
      <c r="L232">
        <v>8</v>
      </c>
      <c r="M232" s="6">
        <v>1990.25</v>
      </c>
    </row>
    <row r="233" spans="1:13" x14ac:dyDescent="0.3">
      <c r="A233" t="s">
        <v>244</v>
      </c>
      <c r="B233" s="4">
        <v>45523</v>
      </c>
      <c r="C233" t="s">
        <v>467</v>
      </c>
      <c r="D233" t="s">
        <v>482</v>
      </c>
      <c r="E233">
        <v>21</v>
      </c>
      <c r="F233" t="s">
        <v>483</v>
      </c>
      <c r="G233" t="s">
        <v>488</v>
      </c>
      <c r="H233" t="s">
        <v>492</v>
      </c>
      <c r="I233">
        <v>1</v>
      </c>
      <c r="J233">
        <v>516</v>
      </c>
      <c r="K233">
        <v>0</v>
      </c>
      <c r="L233">
        <v>7</v>
      </c>
      <c r="M233" s="6">
        <v>516</v>
      </c>
    </row>
    <row r="234" spans="1:13" x14ac:dyDescent="0.3">
      <c r="A234" t="s">
        <v>245</v>
      </c>
      <c r="B234" s="4">
        <v>45524</v>
      </c>
      <c r="C234" t="s">
        <v>468</v>
      </c>
      <c r="D234" t="s">
        <v>481</v>
      </c>
      <c r="E234">
        <v>53</v>
      </c>
      <c r="F234" t="s">
        <v>486</v>
      </c>
      <c r="G234" t="s">
        <v>488</v>
      </c>
      <c r="H234" t="s">
        <v>492</v>
      </c>
      <c r="I234">
        <v>2</v>
      </c>
      <c r="J234">
        <v>834</v>
      </c>
      <c r="K234">
        <v>0</v>
      </c>
      <c r="L234">
        <v>5</v>
      </c>
      <c r="M234" s="6">
        <v>1668</v>
      </c>
    </row>
    <row r="235" spans="1:13" x14ac:dyDescent="0.3">
      <c r="A235" t="s">
        <v>246</v>
      </c>
      <c r="B235" s="4">
        <v>45525</v>
      </c>
      <c r="C235" t="s">
        <v>469</v>
      </c>
      <c r="D235" t="s">
        <v>482</v>
      </c>
      <c r="E235">
        <v>23</v>
      </c>
      <c r="F235" t="s">
        <v>483</v>
      </c>
      <c r="G235" t="s">
        <v>489</v>
      </c>
      <c r="H235" t="s">
        <v>492</v>
      </c>
      <c r="I235">
        <v>3</v>
      </c>
      <c r="J235">
        <v>2125</v>
      </c>
      <c r="K235">
        <v>5</v>
      </c>
      <c r="L235">
        <v>1</v>
      </c>
      <c r="M235" s="6">
        <v>6056.25</v>
      </c>
    </row>
    <row r="236" spans="1:13" x14ac:dyDescent="0.3">
      <c r="A236" t="s">
        <v>247</v>
      </c>
      <c r="B236" s="4">
        <v>45526</v>
      </c>
      <c r="C236" t="s">
        <v>470</v>
      </c>
      <c r="D236" t="s">
        <v>481</v>
      </c>
      <c r="E236">
        <v>48</v>
      </c>
      <c r="F236" t="s">
        <v>485</v>
      </c>
      <c r="G236" t="s">
        <v>489</v>
      </c>
      <c r="H236" t="s">
        <v>493</v>
      </c>
      <c r="I236">
        <v>5</v>
      </c>
      <c r="J236">
        <v>2256</v>
      </c>
      <c r="K236">
        <v>15</v>
      </c>
      <c r="L236">
        <v>5</v>
      </c>
      <c r="M236" s="6">
        <v>9588</v>
      </c>
    </row>
    <row r="237" spans="1:13" x14ac:dyDescent="0.3">
      <c r="A237" t="s">
        <v>248</v>
      </c>
      <c r="B237" s="4">
        <v>45527</v>
      </c>
      <c r="C237" t="s">
        <v>457</v>
      </c>
      <c r="D237" t="s">
        <v>481</v>
      </c>
      <c r="E237">
        <v>36</v>
      </c>
      <c r="F237" t="s">
        <v>485</v>
      </c>
      <c r="G237" t="s">
        <v>491</v>
      </c>
      <c r="H237" t="s">
        <v>493</v>
      </c>
      <c r="I237">
        <v>5</v>
      </c>
      <c r="J237">
        <v>3344</v>
      </c>
      <c r="K237">
        <v>5</v>
      </c>
      <c r="L237">
        <v>2</v>
      </c>
      <c r="M237" s="6">
        <v>15884</v>
      </c>
    </row>
    <row r="238" spans="1:13" x14ac:dyDescent="0.3">
      <c r="A238" t="s">
        <v>249</v>
      </c>
      <c r="B238" s="4">
        <v>45528</v>
      </c>
      <c r="C238" t="s">
        <v>317</v>
      </c>
      <c r="D238" t="s">
        <v>482</v>
      </c>
      <c r="E238">
        <v>56</v>
      </c>
      <c r="F238" t="s">
        <v>485</v>
      </c>
      <c r="G238" t="s">
        <v>488</v>
      </c>
      <c r="H238" t="s">
        <v>494</v>
      </c>
      <c r="I238">
        <v>1</v>
      </c>
      <c r="J238">
        <v>2470</v>
      </c>
      <c r="K238">
        <v>0</v>
      </c>
      <c r="L238">
        <v>5</v>
      </c>
      <c r="M238" s="6">
        <v>2470</v>
      </c>
    </row>
    <row r="239" spans="1:13" x14ac:dyDescent="0.3">
      <c r="A239" t="s">
        <v>250</v>
      </c>
      <c r="B239" s="4">
        <v>45529</v>
      </c>
      <c r="C239" t="s">
        <v>471</v>
      </c>
      <c r="D239" t="s">
        <v>481</v>
      </c>
      <c r="E239">
        <v>44</v>
      </c>
      <c r="F239" t="s">
        <v>483</v>
      </c>
      <c r="G239" t="s">
        <v>488</v>
      </c>
      <c r="H239" t="s">
        <v>494</v>
      </c>
      <c r="I239">
        <v>1</v>
      </c>
      <c r="J239">
        <v>1639</v>
      </c>
      <c r="K239">
        <v>10</v>
      </c>
      <c r="L239">
        <v>5</v>
      </c>
      <c r="M239" s="6">
        <v>1475.1</v>
      </c>
    </row>
    <row r="240" spans="1:13" x14ac:dyDescent="0.3">
      <c r="A240" t="s">
        <v>251</v>
      </c>
      <c r="B240" s="4">
        <v>45530</v>
      </c>
      <c r="C240" t="s">
        <v>411</v>
      </c>
      <c r="D240" t="s">
        <v>481</v>
      </c>
      <c r="E240">
        <v>27</v>
      </c>
      <c r="F240" t="s">
        <v>486</v>
      </c>
      <c r="G240" t="s">
        <v>490</v>
      </c>
      <c r="H240" t="s">
        <v>495</v>
      </c>
      <c r="I240">
        <v>3</v>
      </c>
      <c r="J240">
        <v>752</v>
      </c>
      <c r="K240">
        <v>0</v>
      </c>
      <c r="L240">
        <v>2</v>
      </c>
      <c r="M240" s="6">
        <v>2256</v>
      </c>
    </row>
    <row r="241" spans="1:13" x14ac:dyDescent="0.3">
      <c r="A241" t="s">
        <v>252</v>
      </c>
      <c r="B241" s="4">
        <v>45531</v>
      </c>
      <c r="C241" t="s">
        <v>281</v>
      </c>
      <c r="D241" t="s">
        <v>481</v>
      </c>
      <c r="E241">
        <v>43</v>
      </c>
      <c r="F241" t="s">
        <v>486</v>
      </c>
      <c r="G241" t="s">
        <v>489</v>
      </c>
      <c r="H241" t="s">
        <v>493</v>
      </c>
      <c r="I241">
        <v>4</v>
      </c>
      <c r="J241">
        <v>915</v>
      </c>
      <c r="K241">
        <v>10</v>
      </c>
      <c r="L241">
        <v>5</v>
      </c>
      <c r="M241" s="6">
        <v>3294</v>
      </c>
    </row>
    <row r="242" spans="1:13" x14ac:dyDescent="0.3">
      <c r="A242" t="s">
        <v>253</v>
      </c>
      <c r="B242" s="4">
        <v>45532</v>
      </c>
      <c r="C242" t="s">
        <v>472</v>
      </c>
      <c r="D242" t="s">
        <v>481</v>
      </c>
      <c r="E242">
        <v>36</v>
      </c>
      <c r="F242" t="s">
        <v>483</v>
      </c>
      <c r="G242" t="s">
        <v>488</v>
      </c>
      <c r="H242" t="s">
        <v>495</v>
      </c>
      <c r="I242">
        <v>2</v>
      </c>
      <c r="J242">
        <v>4111</v>
      </c>
      <c r="K242">
        <v>15</v>
      </c>
      <c r="L242">
        <v>4</v>
      </c>
      <c r="M242" s="6">
        <v>6988.7</v>
      </c>
    </row>
    <row r="243" spans="1:13" x14ac:dyDescent="0.3">
      <c r="A243" t="s">
        <v>254</v>
      </c>
      <c r="B243" s="4">
        <v>45533</v>
      </c>
      <c r="C243" t="s">
        <v>473</v>
      </c>
      <c r="D243" t="s">
        <v>481</v>
      </c>
      <c r="E243">
        <v>56</v>
      </c>
      <c r="F243" t="s">
        <v>486</v>
      </c>
      <c r="G243" t="s">
        <v>491</v>
      </c>
      <c r="H243" t="s">
        <v>494</v>
      </c>
      <c r="I243">
        <v>1</v>
      </c>
      <c r="J243">
        <v>1913</v>
      </c>
      <c r="K243">
        <v>15</v>
      </c>
      <c r="L243">
        <v>1</v>
      </c>
      <c r="M243" s="6">
        <v>1626.05</v>
      </c>
    </row>
    <row r="244" spans="1:13" x14ac:dyDescent="0.3">
      <c r="A244" t="s">
        <v>255</v>
      </c>
      <c r="B244" s="4">
        <v>45534</v>
      </c>
      <c r="C244" t="s">
        <v>474</v>
      </c>
      <c r="D244" t="s">
        <v>482</v>
      </c>
      <c r="E244">
        <v>20</v>
      </c>
      <c r="F244" t="s">
        <v>483</v>
      </c>
      <c r="G244" t="s">
        <v>491</v>
      </c>
      <c r="H244" t="s">
        <v>495</v>
      </c>
      <c r="I244">
        <v>5</v>
      </c>
      <c r="J244">
        <v>3589</v>
      </c>
      <c r="K244">
        <v>0</v>
      </c>
      <c r="L244">
        <v>3</v>
      </c>
      <c r="M244" s="6">
        <v>17945</v>
      </c>
    </row>
    <row r="245" spans="1:13" x14ac:dyDescent="0.3">
      <c r="A245" t="s">
        <v>256</v>
      </c>
      <c r="B245" s="4">
        <v>45535</v>
      </c>
      <c r="C245" t="s">
        <v>475</v>
      </c>
      <c r="D245" t="s">
        <v>481</v>
      </c>
      <c r="E245">
        <v>30</v>
      </c>
      <c r="F245" t="s">
        <v>486</v>
      </c>
      <c r="G245" t="s">
        <v>488</v>
      </c>
      <c r="H245" t="s">
        <v>494</v>
      </c>
      <c r="I245">
        <v>3</v>
      </c>
      <c r="J245">
        <v>1307</v>
      </c>
      <c r="K245">
        <v>0</v>
      </c>
      <c r="L245">
        <v>1</v>
      </c>
      <c r="M245" s="6">
        <v>3921</v>
      </c>
    </row>
    <row r="246" spans="1:13" x14ac:dyDescent="0.3">
      <c r="A246" t="s">
        <v>257</v>
      </c>
      <c r="B246" s="4">
        <v>45536</v>
      </c>
      <c r="C246" t="s">
        <v>385</v>
      </c>
      <c r="D246" t="s">
        <v>482</v>
      </c>
      <c r="E246">
        <v>45</v>
      </c>
      <c r="F246" t="s">
        <v>484</v>
      </c>
      <c r="G246" t="s">
        <v>489</v>
      </c>
      <c r="H246" t="s">
        <v>493</v>
      </c>
      <c r="I246">
        <v>2</v>
      </c>
      <c r="J246">
        <v>4406</v>
      </c>
      <c r="K246">
        <v>10</v>
      </c>
      <c r="L246">
        <v>5</v>
      </c>
      <c r="M246" s="6">
        <v>7930.8</v>
      </c>
    </row>
    <row r="247" spans="1:13" x14ac:dyDescent="0.3">
      <c r="A247" t="s">
        <v>258</v>
      </c>
      <c r="B247" s="4">
        <v>45537</v>
      </c>
      <c r="C247" t="s">
        <v>476</v>
      </c>
      <c r="D247" t="s">
        <v>481</v>
      </c>
      <c r="E247">
        <v>37</v>
      </c>
      <c r="F247" t="s">
        <v>484</v>
      </c>
      <c r="G247" t="s">
        <v>491</v>
      </c>
      <c r="H247" t="s">
        <v>492</v>
      </c>
      <c r="I247">
        <v>3</v>
      </c>
      <c r="J247">
        <v>450</v>
      </c>
      <c r="K247">
        <v>5</v>
      </c>
      <c r="L247">
        <v>4</v>
      </c>
      <c r="M247" s="6">
        <v>1282.5</v>
      </c>
    </row>
    <row r="248" spans="1:13" x14ac:dyDescent="0.3">
      <c r="A248" t="s">
        <v>259</v>
      </c>
      <c r="B248" s="4">
        <v>45538</v>
      </c>
      <c r="C248" t="s">
        <v>477</v>
      </c>
      <c r="D248" t="s">
        <v>482</v>
      </c>
      <c r="E248">
        <v>45</v>
      </c>
      <c r="F248" t="s">
        <v>485</v>
      </c>
      <c r="G248" t="s">
        <v>490</v>
      </c>
      <c r="H248" t="s">
        <v>493</v>
      </c>
      <c r="I248">
        <v>2</v>
      </c>
      <c r="J248">
        <v>2630</v>
      </c>
      <c r="K248">
        <v>15</v>
      </c>
      <c r="L248">
        <v>7</v>
      </c>
      <c r="M248" s="6">
        <v>4471</v>
      </c>
    </row>
    <row r="249" spans="1:13" x14ac:dyDescent="0.3">
      <c r="A249" t="s">
        <v>260</v>
      </c>
      <c r="B249" s="4">
        <v>45539</v>
      </c>
      <c r="C249" t="s">
        <v>478</v>
      </c>
      <c r="D249" t="s">
        <v>482</v>
      </c>
      <c r="E249">
        <v>25</v>
      </c>
      <c r="F249" t="s">
        <v>484</v>
      </c>
      <c r="G249" t="s">
        <v>491</v>
      </c>
      <c r="H249" t="s">
        <v>495</v>
      </c>
      <c r="I249">
        <v>2</v>
      </c>
      <c r="J249">
        <v>2254</v>
      </c>
      <c r="K249">
        <v>0</v>
      </c>
      <c r="L249">
        <v>5</v>
      </c>
      <c r="M249" s="6">
        <v>4508</v>
      </c>
    </row>
    <row r="250" spans="1:13" x14ac:dyDescent="0.3">
      <c r="A250" t="s">
        <v>261</v>
      </c>
      <c r="B250" s="4">
        <v>45540</v>
      </c>
      <c r="C250" t="s">
        <v>479</v>
      </c>
      <c r="D250" t="s">
        <v>481</v>
      </c>
      <c r="E250">
        <v>58</v>
      </c>
      <c r="F250" t="s">
        <v>484</v>
      </c>
      <c r="G250" t="s">
        <v>487</v>
      </c>
      <c r="H250" t="s">
        <v>495</v>
      </c>
      <c r="I250">
        <v>1</v>
      </c>
      <c r="J250">
        <v>658</v>
      </c>
      <c r="K250">
        <v>0</v>
      </c>
      <c r="L250">
        <v>4</v>
      </c>
      <c r="M250" s="6">
        <v>658</v>
      </c>
    </row>
    <row r="251" spans="1:13" x14ac:dyDescent="0.3">
      <c r="A251" t="s">
        <v>262</v>
      </c>
      <c r="B251" s="4">
        <v>45541</v>
      </c>
      <c r="C251" t="s">
        <v>480</v>
      </c>
      <c r="D251" t="s">
        <v>481</v>
      </c>
      <c r="E251">
        <v>56</v>
      </c>
      <c r="F251" t="s">
        <v>484</v>
      </c>
      <c r="G251" t="s">
        <v>487</v>
      </c>
      <c r="H251" t="s">
        <v>493</v>
      </c>
      <c r="I251">
        <v>3</v>
      </c>
      <c r="J251">
        <v>407</v>
      </c>
      <c r="K251">
        <v>0</v>
      </c>
      <c r="L251">
        <v>2</v>
      </c>
      <c r="M251" s="6">
        <v>1221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97102-73E5-4971-B918-ED03B869E9B5}">
  <dimension ref="A1:J59"/>
  <sheetViews>
    <sheetView topLeftCell="H1" zoomScaleNormal="100" workbookViewId="0"/>
  </sheetViews>
  <sheetFormatPr defaultRowHeight="14.4" x14ac:dyDescent="0.3"/>
  <cols>
    <col min="1" max="1" width="10.77734375" bestFit="1" customWidth="1"/>
    <col min="2" max="2" width="17" bestFit="1" customWidth="1"/>
    <col min="3" max="3" width="20.21875" bestFit="1" customWidth="1"/>
  </cols>
  <sheetData>
    <row r="1" spans="1:10" x14ac:dyDescent="0.3">
      <c r="A1" s="7" t="s">
        <v>496</v>
      </c>
      <c r="B1" s="7" t="s">
        <v>497</v>
      </c>
      <c r="C1" s="7" t="s">
        <v>498</v>
      </c>
    </row>
    <row r="2" spans="1:10" x14ac:dyDescent="0.3">
      <c r="A2" s="15">
        <f>SUM('Task-OB-1'!M2:M251)</f>
        <v>1752363.0499999998</v>
      </c>
      <c r="B2" s="15">
        <f>AVERAGE('Task-OB-1'!M2:M251)</f>
        <v>7009.4521999999988</v>
      </c>
      <c r="C2" s="15">
        <f>MEDIAN('Task-OB-1'!M2:M251)</f>
        <v>4932.3999999999996</v>
      </c>
    </row>
    <row r="4" spans="1:10" ht="15" thickBot="1" x14ac:dyDescent="0.35"/>
    <row r="5" spans="1:10" x14ac:dyDescent="0.3">
      <c r="H5" s="16" t="s">
        <v>504</v>
      </c>
      <c r="I5" s="17"/>
      <c r="J5" s="18"/>
    </row>
    <row r="6" spans="1:10" ht="15" thickBot="1" x14ac:dyDescent="0.35">
      <c r="H6" s="19"/>
      <c r="I6" s="20"/>
      <c r="J6" s="21"/>
    </row>
    <row r="8" spans="1:10" x14ac:dyDescent="0.3">
      <c r="A8" s="8" t="s">
        <v>502</v>
      </c>
      <c r="B8" t="s">
        <v>500</v>
      </c>
      <c r="C8" t="s">
        <v>503</v>
      </c>
    </row>
    <row r="9" spans="1:10" x14ac:dyDescent="0.3">
      <c r="A9" s="9" t="s">
        <v>491</v>
      </c>
      <c r="B9" s="6">
        <v>392283.94999999995</v>
      </c>
      <c r="C9" s="6">
        <v>8172.5822916666657</v>
      </c>
    </row>
    <row r="10" spans="1:10" x14ac:dyDescent="0.3">
      <c r="A10" s="9" t="s">
        <v>490</v>
      </c>
      <c r="B10" s="6">
        <v>371705.40000000008</v>
      </c>
      <c r="C10" s="6">
        <v>7288.3411764705897</v>
      </c>
    </row>
    <row r="11" spans="1:10" x14ac:dyDescent="0.3">
      <c r="A11" s="9" t="s">
        <v>488</v>
      </c>
      <c r="B11" s="6">
        <v>340431.84999999992</v>
      </c>
      <c r="C11" s="6">
        <v>6304.293518518517</v>
      </c>
    </row>
    <row r="12" spans="1:10" x14ac:dyDescent="0.3">
      <c r="A12" s="9" t="s">
        <v>487</v>
      </c>
      <c r="B12" s="6">
        <v>325609.7</v>
      </c>
      <c r="C12" s="6">
        <v>6384.5039215686274</v>
      </c>
    </row>
    <row r="13" spans="1:10" x14ac:dyDescent="0.3">
      <c r="A13" s="9" t="s">
        <v>489</v>
      </c>
      <c r="B13" s="6">
        <v>322332.14999999997</v>
      </c>
      <c r="C13" s="6">
        <v>7007.2206521739126</v>
      </c>
    </row>
    <row r="14" spans="1:10" x14ac:dyDescent="0.3">
      <c r="A14" s="9" t="s">
        <v>499</v>
      </c>
      <c r="B14" s="6">
        <v>1752363.0500000005</v>
      </c>
      <c r="C14" s="6">
        <v>7009.4522000000024</v>
      </c>
    </row>
    <row r="25" spans="1:9" ht="15" thickBot="1" x14ac:dyDescent="0.35"/>
    <row r="26" spans="1:9" x14ac:dyDescent="0.3">
      <c r="H26" s="22" t="s">
        <v>505</v>
      </c>
      <c r="I26" s="23"/>
    </row>
    <row r="27" spans="1:9" ht="15" thickBot="1" x14ac:dyDescent="0.35">
      <c r="H27" s="24"/>
      <c r="I27" s="25"/>
    </row>
    <row r="29" spans="1:9" x14ac:dyDescent="0.3">
      <c r="A29" s="8" t="s">
        <v>5</v>
      </c>
      <c r="B29" t="s">
        <v>500</v>
      </c>
    </row>
    <row r="30" spans="1:9" x14ac:dyDescent="0.3">
      <c r="A30" s="9" t="s">
        <v>483</v>
      </c>
      <c r="B30" s="6">
        <v>545655.54999999993</v>
      </c>
    </row>
    <row r="31" spans="1:9" x14ac:dyDescent="0.3">
      <c r="A31" s="9" t="s">
        <v>486</v>
      </c>
      <c r="B31" s="6">
        <v>504315.1</v>
      </c>
    </row>
    <row r="32" spans="1:9" x14ac:dyDescent="0.3">
      <c r="A32" s="9" t="s">
        <v>485</v>
      </c>
      <c r="B32" s="6">
        <v>368350.25000000006</v>
      </c>
    </row>
    <row r="33" spans="1:2" x14ac:dyDescent="0.3">
      <c r="A33" s="9" t="s">
        <v>484</v>
      </c>
      <c r="B33" s="6">
        <v>334042.14999999997</v>
      </c>
    </row>
    <row r="34" spans="1:2" x14ac:dyDescent="0.3">
      <c r="A34" s="9" t="s">
        <v>499</v>
      </c>
      <c r="B34" s="6">
        <v>1752363.0499999998</v>
      </c>
    </row>
    <row r="49" spans="1:9" x14ac:dyDescent="0.3">
      <c r="A49" s="8" t="s">
        <v>515</v>
      </c>
      <c r="B49" t="s">
        <v>500</v>
      </c>
      <c r="G49" s="26" t="s">
        <v>516</v>
      </c>
      <c r="H49" s="27"/>
      <c r="I49" s="27"/>
    </row>
    <row r="50" spans="1:9" x14ac:dyDescent="0.3">
      <c r="A50" s="9" t="s">
        <v>506</v>
      </c>
      <c r="B50" s="6">
        <v>191869.80000000002</v>
      </c>
      <c r="G50" s="27"/>
      <c r="H50" s="27"/>
      <c r="I50" s="27"/>
    </row>
    <row r="51" spans="1:9" x14ac:dyDescent="0.3">
      <c r="A51" s="9" t="s">
        <v>507</v>
      </c>
      <c r="B51" s="6">
        <v>271212.45</v>
      </c>
    </row>
    <row r="52" spans="1:9" x14ac:dyDescent="0.3">
      <c r="A52" s="9" t="s">
        <v>508</v>
      </c>
      <c r="B52" s="6">
        <v>201005.55000000002</v>
      </c>
    </row>
    <row r="53" spans="1:9" x14ac:dyDescent="0.3">
      <c r="A53" s="9" t="s">
        <v>509</v>
      </c>
      <c r="B53" s="6">
        <v>192429.25000000003</v>
      </c>
    </row>
    <row r="54" spans="1:9" x14ac:dyDescent="0.3">
      <c r="A54" s="9" t="s">
        <v>510</v>
      </c>
      <c r="B54" s="6">
        <v>239586.05</v>
      </c>
    </row>
    <row r="55" spans="1:9" x14ac:dyDescent="0.3">
      <c r="A55" s="9" t="s">
        <v>511</v>
      </c>
      <c r="B55" s="6">
        <v>229598.7</v>
      </c>
    </row>
    <row r="56" spans="1:9" x14ac:dyDescent="0.3">
      <c r="A56" s="9" t="s">
        <v>512</v>
      </c>
      <c r="B56" s="6">
        <v>210271.24999999997</v>
      </c>
    </row>
    <row r="57" spans="1:9" x14ac:dyDescent="0.3">
      <c r="A57" s="9" t="s">
        <v>513</v>
      </c>
      <c r="B57" s="6">
        <v>196318.69999999998</v>
      </c>
    </row>
    <row r="58" spans="1:9" x14ac:dyDescent="0.3">
      <c r="A58" s="9" t="s">
        <v>514</v>
      </c>
      <c r="B58" s="6">
        <v>20071.3</v>
      </c>
    </row>
    <row r="59" spans="1:9" x14ac:dyDescent="0.3">
      <c r="A59" s="9" t="s">
        <v>499</v>
      </c>
      <c r="B59" s="6">
        <v>1752363.05</v>
      </c>
    </row>
  </sheetData>
  <mergeCells count="3">
    <mergeCell ref="H5:J6"/>
    <mergeCell ref="H26:I27"/>
    <mergeCell ref="G49:I50"/>
  </mergeCells>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57FFB-F4D7-4479-A5BF-CC40F5C9C0EF}">
  <dimension ref="A1:M41"/>
  <sheetViews>
    <sheetView topLeftCell="G1" zoomScaleNormal="100" workbookViewId="0">
      <selection activeCell="O16" sqref="O16"/>
    </sheetView>
  </sheetViews>
  <sheetFormatPr defaultRowHeight="14.4" x14ac:dyDescent="0.3"/>
  <cols>
    <col min="1" max="1" width="18" bestFit="1" customWidth="1"/>
    <col min="2" max="2" width="15.5546875" bestFit="1" customWidth="1"/>
    <col min="3" max="3" width="10.33203125" bestFit="1" customWidth="1"/>
    <col min="4" max="4" width="9.77734375" bestFit="1" customWidth="1"/>
    <col min="5" max="5" width="4" bestFit="1" customWidth="1"/>
    <col min="6" max="6" width="10.77734375" bestFit="1" customWidth="1"/>
    <col min="7" max="7" width="15" bestFit="1" customWidth="1"/>
    <col min="8" max="8" width="10.33203125" bestFit="1" customWidth="1"/>
    <col min="9" max="9" width="9.77734375" bestFit="1" customWidth="1"/>
    <col min="10" max="10" width="4" bestFit="1" customWidth="1"/>
    <col min="11" max="11" width="9.88671875" bestFit="1" customWidth="1"/>
    <col min="12" max="12" width="10.77734375" bestFit="1" customWidth="1"/>
  </cols>
  <sheetData>
    <row r="1" spans="1:3" x14ac:dyDescent="0.3">
      <c r="A1" s="8" t="s">
        <v>3</v>
      </c>
      <c r="B1" t="s">
        <v>517</v>
      </c>
    </row>
    <row r="2" spans="1:3" x14ac:dyDescent="0.3">
      <c r="A2" s="9" t="s">
        <v>481</v>
      </c>
      <c r="B2">
        <v>134</v>
      </c>
    </row>
    <row r="3" spans="1:3" x14ac:dyDescent="0.3">
      <c r="A3" s="9" t="s">
        <v>482</v>
      </c>
      <c r="B3">
        <v>116</v>
      </c>
    </row>
    <row r="4" spans="1:3" x14ac:dyDescent="0.3">
      <c r="A4" s="9" t="s">
        <v>499</v>
      </c>
      <c r="B4">
        <v>250</v>
      </c>
    </row>
    <row r="9" spans="1:3" x14ac:dyDescent="0.3">
      <c r="B9" s="28" t="s">
        <v>529</v>
      </c>
      <c r="C9" s="29"/>
    </row>
    <row r="10" spans="1:3" x14ac:dyDescent="0.3">
      <c r="B10" s="29"/>
      <c r="C10" s="29"/>
    </row>
    <row r="23" spans="1:6" x14ac:dyDescent="0.3">
      <c r="A23" s="8" t="s">
        <v>519</v>
      </c>
      <c r="B23" s="8" t="s">
        <v>518</v>
      </c>
    </row>
    <row r="24" spans="1:6" x14ac:dyDescent="0.3">
      <c r="A24" s="8" t="s">
        <v>502</v>
      </c>
      <c r="B24" t="s">
        <v>493</v>
      </c>
      <c r="C24" t="s">
        <v>495</v>
      </c>
      <c r="D24" t="s">
        <v>492</v>
      </c>
      <c r="E24" t="s">
        <v>494</v>
      </c>
      <c r="F24" t="s">
        <v>499</v>
      </c>
    </row>
    <row r="25" spans="1:6" x14ac:dyDescent="0.3">
      <c r="A25" s="9" t="s">
        <v>489</v>
      </c>
      <c r="B25">
        <v>16</v>
      </c>
      <c r="C25">
        <v>6</v>
      </c>
      <c r="D25">
        <v>13</v>
      </c>
      <c r="E25">
        <v>11</v>
      </c>
      <c r="F25">
        <v>46</v>
      </c>
    </row>
    <row r="26" spans="1:6" x14ac:dyDescent="0.3">
      <c r="A26" s="9" t="s">
        <v>490</v>
      </c>
      <c r="B26">
        <v>10</v>
      </c>
      <c r="C26">
        <v>15</v>
      </c>
      <c r="D26">
        <v>12</v>
      </c>
      <c r="E26">
        <v>14</v>
      </c>
      <c r="F26">
        <v>51</v>
      </c>
    </row>
    <row r="27" spans="1:6" x14ac:dyDescent="0.3">
      <c r="A27" s="9" t="s">
        <v>487</v>
      </c>
      <c r="B27">
        <v>9</v>
      </c>
      <c r="C27">
        <v>13</v>
      </c>
      <c r="D27">
        <v>16</v>
      </c>
      <c r="E27">
        <v>13</v>
      </c>
      <c r="F27">
        <v>51</v>
      </c>
    </row>
    <row r="28" spans="1:6" x14ac:dyDescent="0.3">
      <c r="A28" s="9" t="s">
        <v>491</v>
      </c>
      <c r="B28">
        <v>8</v>
      </c>
      <c r="C28">
        <v>13</v>
      </c>
      <c r="D28">
        <v>17</v>
      </c>
      <c r="E28">
        <v>10</v>
      </c>
      <c r="F28">
        <v>48</v>
      </c>
    </row>
    <row r="29" spans="1:6" x14ac:dyDescent="0.3">
      <c r="A29" s="9" t="s">
        <v>488</v>
      </c>
      <c r="B29">
        <v>17</v>
      </c>
      <c r="C29">
        <v>11</v>
      </c>
      <c r="D29">
        <v>12</v>
      </c>
      <c r="E29">
        <v>14</v>
      </c>
      <c r="F29">
        <v>54</v>
      </c>
    </row>
    <row r="30" spans="1:6" x14ac:dyDescent="0.3">
      <c r="A30" s="9" t="s">
        <v>499</v>
      </c>
      <c r="B30">
        <v>60</v>
      </c>
      <c r="C30">
        <v>58</v>
      </c>
      <c r="D30">
        <v>70</v>
      </c>
      <c r="E30">
        <v>62</v>
      </c>
      <c r="F30">
        <v>250</v>
      </c>
    </row>
    <row r="40" spans="11:13" x14ac:dyDescent="0.3">
      <c r="K40" s="28" t="s">
        <v>530</v>
      </c>
      <c r="L40" s="29"/>
      <c r="M40" s="29"/>
    </row>
    <row r="41" spans="11:13" x14ac:dyDescent="0.3">
      <c r="K41" s="29"/>
      <c r="L41" s="29"/>
      <c r="M41" s="29"/>
    </row>
  </sheetData>
  <mergeCells count="2">
    <mergeCell ref="B9:C10"/>
    <mergeCell ref="K40:M41"/>
  </mergeCell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7352B-31F8-4133-B14F-30A24F384A8F}">
  <dimension ref="A1:V284"/>
  <sheetViews>
    <sheetView topLeftCell="G1" zoomScaleNormal="100" workbookViewId="0"/>
  </sheetViews>
  <sheetFormatPr defaultRowHeight="14.4" x14ac:dyDescent="0.3"/>
  <cols>
    <col min="1" max="1" width="10.77734375" bestFit="1" customWidth="1"/>
    <col min="2" max="2" width="22.6640625" bestFit="1" customWidth="1"/>
    <col min="15" max="15" width="18.109375" bestFit="1" customWidth="1"/>
    <col min="16" max="16" width="16.44140625" bestFit="1" customWidth="1"/>
  </cols>
  <sheetData>
    <row r="1" spans="1:2" x14ac:dyDescent="0.3">
      <c r="A1" s="8" t="s">
        <v>5</v>
      </c>
      <c r="B1" t="s">
        <v>520</v>
      </c>
    </row>
    <row r="2" spans="1:2" x14ac:dyDescent="0.3">
      <c r="A2" s="9" t="s">
        <v>486</v>
      </c>
      <c r="B2" s="11">
        <v>4.34375</v>
      </c>
    </row>
    <row r="3" spans="1:2" x14ac:dyDescent="0.3">
      <c r="A3" s="9" t="s">
        <v>484</v>
      </c>
      <c r="B3" s="11">
        <v>4.75</v>
      </c>
    </row>
    <row r="4" spans="1:2" x14ac:dyDescent="0.3">
      <c r="A4" s="9" t="s">
        <v>483</v>
      </c>
      <c r="B4" s="11">
        <v>5.0263157894736841</v>
      </c>
    </row>
    <row r="5" spans="1:2" x14ac:dyDescent="0.3">
      <c r="A5" s="9" t="s">
        <v>485</v>
      </c>
      <c r="B5" s="11">
        <v>5.0555555555555554</v>
      </c>
    </row>
    <row r="6" spans="1:2" x14ac:dyDescent="0.3">
      <c r="A6" s="9" t="s">
        <v>499</v>
      </c>
      <c r="B6" s="11">
        <v>4.7960000000000003</v>
      </c>
    </row>
    <row r="10" spans="1:2" x14ac:dyDescent="0.3">
      <c r="B10" s="28" t="s">
        <v>505</v>
      </c>
    </row>
    <row r="11" spans="1:2" x14ac:dyDescent="0.3">
      <c r="B11" s="29"/>
    </row>
    <row r="24" spans="1:2" ht="15.6" x14ac:dyDescent="0.3">
      <c r="A24" s="14" t="s">
        <v>526</v>
      </c>
      <c r="B24" s="13"/>
    </row>
    <row r="25" spans="1:2" x14ac:dyDescent="0.3">
      <c r="A25" s="12" t="s">
        <v>521</v>
      </c>
      <c r="B25" s="13">
        <f>MAX('Task-OB-1'!L1:L250)</f>
        <v>9</v>
      </c>
    </row>
    <row r="26" spans="1:2" x14ac:dyDescent="0.3">
      <c r="A26" s="12" t="s">
        <v>522</v>
      </c>
      <c r="B26" s="13">
        <f>MIN('Task-OB-1'!L1:L250)</f>
        <v>1</v>
      </c>
    </row>
    <row r="27" spans="1:2" x14ac:dyDescent="0.3">
      <c r="A27" s="12" t="s">
        <v>523</v>
      </c>
      <c r="B27" s="13">
        <f>B25-B26</f>
        <v>8</v>
      </c>
    </row>
    <row r="28" spans="1:2" x14ac:dyDescent="0.3">
      <c r="A28" s="12" t="s">
        <v>524</v>
      </c>
      <c r="B28" s="13">
        <f>_xlfn.VAR.P('Task-OB-1'!L1:L250)</f>
        <v>5.9066144094450088</v>
      </c>
    </row>
    <row r="29" spans="1:2" x14ac:dyDescent="0.3">
      <c r="A29" s="12" t="s">
        <v>525</v>
      </c>
      <c r="B29" s="13">
        <f>_xlfn.STDEV.P('Task-OB-1'!L1:L250)</f>
        <v>2.4303527335440442</v>
      </c>
    </row>
    <row r="34" spans="1:16" x14ac:dyDescent="0.3">
      <c r="A34" s="10" t="s">
        <v>11</v>
      </c>
      <c r="O34" s="8" t="s">
        <v>528</v>
      </c>
      <c r="P34" t="s">
        <v>527</v>
      </c>
    </row>
    <row r="35" spans="1:16" x14ac:dyDescent="0.3">
      <c r="A35">
        <v>5</v>
      </c>
      <c r="O35" s="9" t="s">
        <v>493</v>
      </c>
      <c r="P35">
        <v>60</v>
      </c>
    </row>
    <row r="36" spans="1:16" x14ac:dyDescent="0.3">
      <c r="A36">
        <v>4</v>
      </c>
      <c r="O36" s="9" t="s">
        <v>495</v>
      </c>
      <c r="P36">
        <v>58</v>
      </c>
    </row>
    <row r="37" spans="1:16" x14ac:dyDescent="0.3">
      <c r="A37">
        <v>2</v>
      </c>
      <c r="O37" s="9" t="s">
        <v>492</v>
      </c>
      <c r="P37">
        <v>70</v>
      </c>
    </row>
    <row r="38" spans="1:16" x14ac:dyDescent="0.3">
      <c r="A38">
        <v>8</v>
      </c>
      <c r="O38" s="9" t="s">
        <v>494</v>
      </c>
      <c r="P38">
        <v>62</v>
      </c>
    </row>
    <row r="39" spans="1:16" x14ac:dyDescent="0.3">
      <c r="A39">
        <v>3</v>
      </c>
      <c r="O39" s="9" t="s">
        <v>499</v>
      </c>
      <c r="P39">
        <v>250</v>
      </c>
    </row>
    <row r="40" spans="1:16" x14ac:dyDescent="0.3">
      <c r="A40">
        <v>4</v>
      </c>
    </row>
    <row r="41" spans="1:16" x14ac:dyDescent="0.3">
      <c r="A41">
        <v>7</v>
      </c>
    </row>
    <row r="42" spans="1:16" x14ac:dyDescent="0.3">
      <c r="A42">
        <v>9</v>
      </c>
    </row>
    <row r="43" spans="1:16" x14ac:dyDescent="0.3">
      <c r="A43">
        <v>2</v>
      </c>
    </row>
    <row r="44" spans="1:16" x14ac:dyDescent="0.3">
      <c r="A44">
        <v>3</v>
      </c>
    </row>
    <row r="45" spans="1:16" x14ac:dyDescent="0.3">
      <c r="A45">
        <v>4</v>
      </c>
    </row>
    <row r="46" spans="1:16" x14ac:dyDescent="0.3">
      <c r="A46">
        <v>1</v>
      </c>
    </row>
    <row r="47" spans="1:16" x14ac:dyDescent="0.3">
      <c r="A47">
        <v>7</v>
      </c>
    </row>
    <row r="48" spans="1:16" x14ac:dyDescent="0.3">
      <c r="A48">
        <v>2</v>
      </c>
    </row>
    <row r="49" spans="1:22" x14ac:dyDescent="0.3">
      <c r="A49">
        <v>5</v>
      </c>
    </row>
    <row r="50" spans="1:22" x14ac:dyDescent="0.3">
      <c r="A50">
        <v>1</v>
      </c>
    </row>
    <row r="51" spans="1:22" x14ac:dyDescent="0.3">
      <c r="A51">
        <v>3</v>
      </c>
      <c r="U51" s="28" t="s">
        <v>529</v>
      </c>
      <c r="V51" s="29"/>
    </row>
    <row r="52" spans="1:22" x14ac:dyDescent="0.3">
      <c r="A52">
        <v>2</v>
      </c>
      <c r="F52" s="28" t="s">
        <v>531</v>
      </c>
      <c r="G52" s="29"/>
      <c r="U52" s="29"/>
      <c r="V52" s="29"/>
    </row>
    <row r="53" spans="1:22" x14ac:dyDescent="0.3">
      <c r="A53">
        <v>1</v>
      </c>
      <c r="F53" s="29"/>
      <c r="G53" s="29"/>
    </row>
    <row r="54" spans="1:22" x14ac:dyDescent="0.3">
      <c r="A54">
        <v>7</v>
      </c>
    </row>
    <row r="55" spans="1:22" x14ac:dyDescent="0.3">
      <c r="A55">
        <v>5</v>
      </c>
    </row>
    <row r="56" spans="1:22" x14ac:dyDescent="0.3">
      <c r="A56">
        <v>1</v>
      </c>
    </row>
    <row r="57" spans="1:22" x14ac:dyDescent="0.3">
      <c r="A57">
        <v>6</v>
      </c>
    </row>
    <row r="58" spans="1:22" x14ac:dyDescent="0.3">
      <c r="A58">
        <v>5</v>
      </c>
    </row>
    <row r="59" spans="1:22" x14ac:dyDescent="0.3">
      <c r="A59">
        <v>3</v>
      </c>
    </row>
    <row r="60" spans="1:22" x14ac:dyDescent="0.3">
      <c r="A60">
        <v>7</v>
      </c>
    </row>
    <row r="61" spans="1:22" x14ac:dyDescent="0.3">
      <c r="A61">
        <v>9</v>
      </c>
    </row>
    <row r="62" spans="1:22" x14ac:dyDescent="0.3">
      <c r="A62">
        <v>9</v>
      </c>
    </row>
    <row r="63" spans="1:22" x14ac:dyDescent="0.3">
      <c r="A63">
        <v>9</v>
      </c>
    </row>
    <row r="64" spans="1:22" x14ac:dyDescent="0.3">
      <c r="A64">
        <v>2</v>
      </c>
    </row>
    <row r="65" spans="1:1" x14ac:dyDescent="0.3">
      <c r="A65">
        <v>3</v>
      </c>
    </row>
    <row r="66" spans="1:1" x14ac:dyDescent="0.3">
      <c r="A66">
        <v>7</v>
      </c>
    </row>
    <row r="67" spans="1:1" x14ac:dyDescent="0.3">
      <c r="A67">
        <v>5</v>
      </c>
    </row>
    <row r="68" spans="1:1" x14ac:dyDescent="0.3">
      <c r="A68">
        <v>2</v>
      </c>
    </row>
    <row r="69" spans="1:1" x14ac:dyDescent="0.3">
      <c r="A69">
        <v>3</v>
      </c>
    </row>
    <row r="70" spans="1:1" x14ac:dyDescent="0.3">
      <c r="A70">
        <v>6</v>
      </c>
    </row>
    <row r="71" spans="1:1" x14ac:dyDescent="0.3">
      <c r="A71">
        <v>7</v>
      </c>
    </row>
    <row r="72" spans="1:1" x14ac:dyDescent="0.3">
      <c r="A72">
        <v>9</v>
      </c>
    </row>
    <row r="73" spans="1:1" x14ac:dyDescent="0.3">
      <c r="A73">
        <v>1</v>
      </c>
    </row>
    <row r="74" spans="1:1" x14ac:dyDescent="0.3">
      <c r="A74">
        <v>7</v>
      </c>
    </row>
    <row r="75" spans="1:1" x14ac:dyDescent="0.3">
      <c r="A75">
        <v>8</v>
      </c>
    </row>
    <row r="76" spans="1:1" x14ac:dyDescent="0.3">
      <c r="A76">
        <v>3</v>
      </c>
    </row>
    <row r="77" spans="1:1" x14ac:dyDescent="0.3">
      <c r="A77">
        <v>4</v>
      </c>
    </row>
    <row r="78" spans="1:1" x14ac:dyDescent="0.3">
      <c r="A78">
        <v>6</v>
      </c>
    </row>
    <row r="79" spans="1:1" x14ac:dyDescent="0.3">
      <c r="A79">
        <v>7</v>
      </c>
    </row>
    <row r="80" spans="1:1" x14ac:dyDescent="0.3">
      <c r="A80">
        <v>4</v>
      </c>
    </row>
    <row r="81" spans="1:1" x14ac:dyDescent="0.3">
      <c r="A81">
        <v>8</v>
      </c>
    </row>
    <row r="82" spans="1:1" x14ac:dyDescent="0.3">
      <c r="A82">
        <v>5</v>
      </c>
    </row>
    <row r="83" spans="1:1" x14ac:dyDescent="0.3">
      <c r="A83">
        <v>1</v>
      </c>
    </row>
    <row r="84" spans="1:1" x14ac:dyDescent="0.3">
      <c r="A84">
        <v>4</v>
      </c>
    </row>
    <row r="85" spans="1:1" x14ac:dyDescent="0.3">
      <c r="A85">
        <v>3</v>
      </c>
    </row>
    <row r="86" spans="1:1" x14ac:dyDescent="0.3">
      <c r="A86">
        <v>9</v>
      </c>
    </row>
    <row r="87" spans="1:1" x14ac:dyDescent="0.3">
      <c r="A87">
        <v>8</v>
      </c>
    </row>
    <row r="88" spans="1:1" x14ac:dyDescent="0.3">
      <c r="A88">
        <v>1</v>
      </c>
    </row>
    <row r="89" spans="1:1" x14ac:dyDescent="0.3">
      <c r="A89">
        <v>6</v>
      </c>
    </row>
    <row r="90" spans="1:1" x14ac:dyDescent="0.3">
      <c r="A90">
        <v>9</v>
      </c>
    </row>
    <row r="91" spans="1:1" x14ac:dyDescent="0.3">
      <c r="A91">
        <v>7</v>
      </c>
    </row>
    <row r="92" spans="1:1" x14ac:dyDescent="0.3">
      <c r="A92">
        <v>4</v>
      </c>
    </row>
    <row r="93" spans="1:1" x14ac:dyDescent="0.3">
      <c r="A93">
        <v>1</v>
      </c>
    </row>
    <row r="94" spans="1:1" x14ac:dyDescent="0.3">
      <c r="A94">
        <v>2</v>
      </c>
    </row>
    <row r="95" spans="1:1" x14ac:dyDescent="0.3">
      <c r="A95">
        <v>5</v>
      </c>
    </row>
    <row r="96" spans="1:1" x14ac:dyDescent="0.3">
      <c r="A96">
        <v>5</v>
      </c>
    </row>
    <row r="97" spans="1:1" x14ac:dyDescent="0.3">
      <c r="A97">
        <v>8</v>
      </c>
    </row>
    <row r="98" spans="1:1" x14ac:dyDescent="0.3">
      <c r="A98">
        <v>6</v>
      </c>
    </row>
    <row r="99" spans="1:1" x14ac:dyDescent="0.3">
      <c r="A99">
        <v>8</v>
      </c>
    </row>
    <row r="100" spans="1:1" x14ac:dyDescent="0.3">
      <c r="A100">
        <v>2</v>
      </c>
    </row>
    <row r="101" spans="1:1" x14ac:dyDescent="0.3">
      <c r="A101">
        <v>3</v>
      </c>
    </row>
    <row r="102" spans="1:1" x14ac:dyDescent="0.3">
      <c r="A102">
        <v>6</v>
      </c>
    </row>
    <row r="103" spans="1:1" x14ac:dyDescent="0.3">
      <c r="A103">
        <v>3</v>
      </c>
    </row>
    <row r="104" spans="1:1" x14ac:dyDescent="0.3">
      <c r="A104">
        <v>6</v>
      </c>
    </row>
    <row r="105" spans="1:1" x14ac:dyDescent="0.3">
      <c r="A105">
        <v>6</v>
      </c>
    </row>
    <row r="106" spans="1:1" x14ac:dyDescent="0.3">
      <c r="A106">
        <v>2</v>
      </c>
    </row>
    <row r="107" spans="1:1" x14ac:dyDescent="0.3">
      <c r="A107">
        <v>7</v>
      </c>
    </row>
    <row r="108" spans="1:1" x14ac:dyDescent="0.3">
      <c r="A108">
        <v>2</v>
      </c>
    </row>
    <row r="109" spans="1:1" x14ac:dyDescent="0.3">
      <c r="A109">
        <v>6</v>
      </c>
    </row>
    <row r="110" spans="1:1" x14ac:dyDescent="0.3">
      <c r="A110">
        <v>1</v>
      </c>
    </row>
    <row r="111" spans="1:1" x14ac:dyDescent="0.3">
      <c r="A111">
        <v>3</v>
      </c>
    </row>
    <row r="112" spans="1:1" x14ac:dyDescent="0.3">
      <c r="A112">
        <v>2</v>
      </c>
    </row>
    <row r="113" spans="1:1" x14ac:dyDescent="0.3">
      <c r="A113">
        <v>7</v>
      </c>
    </row>
    <row r="114" spans="1:1" x14ac:dyDescent="0.3">
      <c r="A114">
        <v>4</v>
      </c>
    </row>
    <row r="115" spans="1:1" x14ac:dyDescent="0.3">
      <c r="A115">
        <v>8</v>
      </c>
    </row>
    <row r="116" spans="1:1" x14ac:dyDescent="0.3">
      <c r="A116">
        <v>6</v>
      </c>
    </row>
    <row r="117" spans="1:1" x14ac:dyDescent="0.3">
      <c r="A117">
        <v>4</v>
      </c>
    </row>
    <row r="118" spans="1:1" x14ac:dyDescent="0.3">
      <c r="A118">
        <v>5</v>
      </c>
    </row>
    <row r="119" spans="1:1" x14ac:dyDescent="0.3">
      <c r="A119">
        <v>9</v>
      </c>
    </row>
    <row r="120" spans="1:1" x14ac:dyDescent="0.3">
      <c r="A120">
        <v>7</v>
      </c>
    </row>
    <row r="121" spans="1:1" x14ac:dyDescent="0.3">
      <c r="A121">
        <v>9</v>
      </c>
    </row>
    <row r="122" spans="1:1" x14ac:dyDescent="0.3">
      <c r="A122">
        <v>7</v>
      </c>
    </row>
    <row r="123" spans="1:1" x14ac:dyDescent="0.3">
      <c r="A123">
        <v>1</v>
      </c>
    </row>
    <row r="124" spans="1:1" x14ac:dyDescent="0.3">
      <c r="A124">
        <v>8</v>
      </c>
    </row>
    <row r="125" spans="1:1" x14ac:dyDescent="0.3">
      <c r="A125">
        <v>4</v>
      </c>
    </row>
    <row r="126" spans="1:1" x14ac:dyDescent="0.3">
      <c r="A126">
        <v>3</v>
      </c>
    </row>
    <row r="127" spans="1:1" x14ac:dyDescent="0.3">
      <c r="A127">
        <v>7</v>
      </c>
    </row>
    <row r="128" spans="1:1" x14ac:dyDescent="0.3">
      <c r="A128">
        <v>3</v>
      </c>
    </row>
    <row r="129" spans="1:1" x14ac:dyDescent="0.3">
      <c r="A129">
        <v>8</v>
      </c>
    </row>
    <row r="130" spans="1:1" x14ac:dyDescent="0.3">
      <c r="A130">
        <v>6</v>
      </c>
    </row>
    <row r="131" spans="1:1" x14ac:dyDescent="0.3">
      <c r="A131">
        <v>5</v>
      </c>
    </row>
    <row r="132" spans="1:1" x14ac:dyDescent="0.3">
      <c r="A132">
        <v>4</v>
      </c>
    </row>
    <row r="133" spans="1:1" x14ac:dyDescent="0.3">
      <c r="A133">
        <v>8</v>
      </c>
    </row>
    <row r="134" spans="1:1" x14ac:dyDescent="0.3">
      <c r="A134">
        <v>8</v>
      </c>
    </row>
    <row r="135" spans="1:1" x14ac:dyDescent="0.3">
      <c r="A135">
        <v>1</v>
      </c>
    </row>
    <row r="136" spans="1:1" x14ac:dyDescent="0.3">
      <c r="A136">
        <v>9</v>
      </c>
    </row>
    <row r="137" spans="1:1" x14ac:dyDescent="0.3">
      <c r="A137">
        <v>5</v>
      </c>
    </row>
    <row r="138" spans="1:1" x14ac:dyDescent="0.3">
      <c r="A138">
        <v>4</v>
      </c>
    </row>
    <row r="139" spans="1:1" x14ac:dyDescent="0.3">
      <c r="A139">
        <v>6</v>
      </c>
    </row>
    <row r="140" spans="1:1" x14ac:dyDescent="0.3">
      <c r="A140">
        <v>6</v>
      </c>
    </row>
    <row r="141" spans="1:1" x14ac:dyDescent="0.3">
      <c r="A141">
        <v>2</v>
      </c>
    </row>
    <row r="142" spans="1:1" x14ac:dyDescent="0.3">
      <c r="A142">
        <v>8</v>
      </c>
    </row>
    <row r="143" spans="1:1" x14ac:dyDescent="0.3">
      <c r="A143">
        <v>7</v>
      </c>
    </row>
    <row r="144" spans="1:1" x14ac:dyDescent="0.3">
      <c r="A144">
        <v>1</v>
      </c>
    </row>
    <row r="145" spans="1:1" x14ac:dyDescent="0.3">
      <c r="A145">
        <v>5</v>
      </c>
    </row>
    <row r="146" spans="1:1" x14ac:dyDescent="0.3">
      <c r="A146">
        <v>6</v>
      </c>
    </row>
    <row r="147" spans="1:1" x14ac:dyDescent="0.3">
      <c r="A147">
        <v>4</v>
      </c>
    </row>
    <row r="148" spans="1:1" x14ac:dyDescent="0.3">
      <c r="A148">
        <v>2</v>
      </c>
    </row>
    <row r="149" spans="1:1" x14ac:dyDescent="0.3">
      <c r="A149">
        <v>4</v>
      </c>
    </row>
    <row r="150" spans="1:1" x14ac:dyDescent="0.3">
      <c r="A150">
        <v>1</v>
      </c>
    </row>
    <row r="151" spans="1:1" x14ac:dyDescent="0.3">
      <c r="A151">
        <v>7</v>
      </c>
    </row>
    <row r="152" spans="1:1" x14ac:dyDescent="0.3">
      <c r="A152">
        <v>2</v>
      </c>
    </row>
    <row r="153" spans="1:1" x14ac:dyDescent="0.3">
      <c r="A153">
        <v>2</v>
      </c>
    </row>
    <row r="154" spans="1:1" x14ac:dyDescent="0.3">
      <c r="A154">
        <v>9</v>
      </c>
    </row>
    <row r="155" spans="1:1" x14ac:dyDescent="0.3">
      <c r="A155">
        <v>5</v>
      </c>
    </row>
    <row r="156" spans="1:1" x14ac:dyDescent="0.3">
      <c r="A156">
        <v>2</v>
      </c>
    </row>
    <row r="157" spans="1:1" x14ac:dyDescent="0.3">
      <c r="A157">
        <v>9</v>
      </c>
    </row>
    <row r="158" spans="1:1" x14ac:dyDescent="0.3">
      <c r="A158">
        <v>9</v>
      </c>
    </row>
    <row r="159" spans="1:1" x14ac:dyDescent="0.3">
      <c r="A159">
        <v>1</v>
      </c>
    </row>
    <row r="160" spans="1:1" x14ac:dyDescent="0.3">
      <c r="A160">
        <v>3</v>
      </c>
    </row>
    <row r="161" spans="1:1" x14ac:dyDescent="0.3">
      <c r="A161">
        <v>4</v>
      </c>
    </row>
    <row r="162" spans="1:1" x14ac:dyDescent="0.3">
      <c r="A162">
        <v>7</v>
      </c>
    </row>
    <row r="163" spans="1:1" x14ac:dyDescent="0.3">
      <c r="A163">
        <v>4</v>
      </c>
    </row>
    <row r="164" spans="1:1" x14ac:dyDescent="0.3">
      <c r="A164">
        <v>2</v>
      </c>
    </row>
    <row r="165" spans="1:1" x14ac:dyDescent="0.3">
      <c r="A165">
        <v>7</v>
      </c>
    </row>
    <row r="166" spans="1:1" x14ac:dyDescent="0.3">
      <c r="A166">
        <v>6</v>
      </c>
    </row>
    <row r="167" spans="1:1" x14ac:dyDescent="0.3">
      <c r="A167">
        <v>3</v>
      </c>
    </row>
    <row r="168" spans="1:1" x14ac:dyDescent="0.3">
      <c r="A168">
        <v>6</v>
      </c>
    </row>
    <row r="169" spans="1:1" x14ac:dyDescent="0.3">
      <c r="A169">
        <v>6</v>
      </c>
    </row>
    <row r="170" spans="1:1" x14ac:dyDescent="0.3">
      <c r="A170">
        <v>5</v>
      </c>
    </row>
    <row r="171" spans="1:1" x14ac:dyDescent="0.3">
      <c r="A171">
        <v>4</v>
      </c>
    </row>
    <row r="172" spans="1:1" x14ac:dyDescent="0.3">
      <c r="A172">
        <v>1</v>
      </c>
    </row>
    <row r="173" spans="1:1" x14ac:dyDescent="0.3">
      <c r="A173">
        <v>6</v>
      </c>
    </row>
    <row r="174" spans="1:1" x14ac:dyDescent="0.3">
      <c r="A174">
        <v>2</v>
      </c>
    </row>
    <row r="175" spans="1:1" x14ac:dyDescent="0.3">
      <c r="A175">
        <v>3</v>
      </c>
    </row>
    <row r="176" spans="1:1" x14ac:dyDescent="0.3">
      <c r="A176">
        <v>8</v>
      </c>
    </row>
    <row r="177" spans="1:1" x14ac:dyDescent="0.3">
      <c r="A177">
        <v>6</v>
      </c>
    </row>
    <row r="178" spans="1:1" x14ac:dyDescent="0.3">
      <c r="A178">
        <v>3</v>
      </c>
    </row>
    <row r="179" spans="1:1" x14ac:dyDescent="0.3">
      <c r="A179">
        <v>7</v>
      </c>
    </row>
    <row r="180" spans="1:1" x14ac:dyDescent="0.3">
      <c r="A180">
        <v>4</v>
      </c>
    </row>
    <row r="181" spans="1:1" x14ac:dyDescent="0.3">
      <c r="A181">
        <v>9</v>
      </c>
    </row>
    <row r="182" spans="1:1" x14ac:dyDescent="0.3">
      <c r="A182">
        <v>5</v>
      </c>
    </row>
    <row r="183" spans="1:1" x14ac:dyDescent="0.3">
      <c r="A183">
        <v>3</v>
      </c>
    </row>
    <row r="184" spans="1:1" x14ac:dyDescent="0.3">
      <c r="A184">
        <v>2</v>
      </c>
    </row>
    <row r="185" spans="1:1" x14ac:dyDescent="0.3">
      <c r="A185">
        <v>2</v>
      </c>
    </row>
    <row r="186" spans="1:1" x14ac:dyDescent="0.3">
      <c r="A186">
        <v>3</v>
      </c>
    </row>
    <row r="187" spans="1:1" x14ac:dyDescent="0.3">
      <c r="A187">
        <v>2</v>
      </c>
    </row>
    <row r="188" spans="1:1" x14ac:dyDescent="0.3">
      <c r="A188">
        <v>4</v>
      </c>
    </row>
    <row r="189" spans="1:1" x14ac:dyDescent="0.3">
      <c r="A189">
        <v>2</v>
      </c>
    </row>
    <row r="190" spans="1:1" x14ac:dyDescent="0.3">
      <c r="A190">
        <v>9</v>
      </c>
    </row>
    <row r="191" spans="1:1" x14ac:dyDescent="0.3">
      <c r="A191">
        <v>2</v>
      </c>
    </row>
    <row r="192" spans="1:1" x14ac:dyDescent="0.3">
      <c r="A192">
        <v>9</v>
      </c>
    </row>
    <row r="193" spans="1:1" x14ac:dyDescent="0.3">
      <c r="A193">
        <v>6</v>
      </c>
    </row>
    <row r="194" spans="1:1" x14ac:dyDescent="0.3">
      <c r="A194">
        <v>1</v>
      </c>
    </row>
    <row r="195" spans="1:1" x14ac:dyDescent="0.3">
      <c r="A195">
        <v>4</v>
      </c>
    </row>
    <row r="196" spans="1:1" x14ac:dyDescent="0.3">
      <c r="A196">
        <v>1</v>
      </c>
    </row>
    <row r="197" spans="1:1" x14ac:dyDescent="0.3">
      <c r="A197">
        <v>6</v>
      </c>
    </row>
    <row r="198" spans="1:1" x14ac:dyDescent="0.3">
      <c r="A198">
        <v>4</v>
      </c>
    </row>
    <row r="199" spans="1:1" x14ac:dyDescent="0.3">
      <c r="A199">
        <v>3</v>
      </c>
    </row>
    <row r="200" spans="1:1" x14ac:dyDescent="0.3">
      <c r="A200">
        <v>3</v>
      </c>
    </row>
    <row r="201" spans="1:1" x14ac:dyDescent="0.3">
      <c r="A201">
        <v>9</v>
      </c>
    </row>
    <row r="202" spans="1:1" x14ac:dyDescent="0.3">
      <c r="A202">
        <v>6</v>
      </c>
    </row>
    <row r="203" spans="1:1" x14ac:dyDescent="0.3">
      <c r="A203">
        <v>9</v>
      </c>
    </row>
    <row r="204" spans="1:1" x14ac:dyDescent="0.3">
      <c r="A204">
        <v>5</v>
      </c>
    </row>
    <row r="205" spans="1:1" x14ac:dyDescent="0.3">
      <c r="A205">
        <v>2</v>
      </c>
    </row>
    <row r="206" spans="1:1" x14ac:dyDescent="0.3">
      <c r="A206">
        <v>8</v>
      </c>
    </row>
    <row r="207" spans="1:1" x14ac:dyDescent="0.3">
      <c r="A207">
        <v>5</v>
      </c>
    </row>
    <row r="208" spans="1:1" x14ac:dyDescent="0.3">
      <c r="A208">
        <v>2</v>
      </c>
    </row>
    <row r="209" spans="1:1" x14ac:dyDescent="0.3">
      <c r="A209">
        <v>4</v>
      </c>
    </row>
    <row r="210" spans="1:1" x14ac:dyDescent="0.3">
      <c r="A210">
        <v>9</v>
      </c>
    </row>
    <row r="211" spans="1:1" x14ac:dyDescent="0.3">
      <c r="A211">
        <v>4</v>
      </c>
    </row>
    <row r="212" spans="1:1" x14ac:dyDescent="0.3">
      <c r="A212">
        <v>4</v>
      </c>
    </row>
    <row r="213" spans="1:1" x14ac:dyDescent="0.3">
      <c r="A213">
        <v>2</v>
      </c>
    </row>
    <row r="214" spans="1:1" x14ac:dyDescent="0.3">
      <c r="A214">
        <v>6</v>
      </c>
    </row>
    <row r="215" spans="1:1" x14ac:dyDescent="0.3">
      <c r="A215">
        <v>2</v>
      </c>
    </row>
    <row r="216" spans="1:1" x14ac:dyDescent="0.3">
      <c r="A216">
        <v>7</v>
      </c>
    </row>
    <row r="217" spans="1:1" x14ac:dyDescent="0.3">
      <c r="A217">
        <v>3</v>
      </c>
    </row>
    <row r="218" spans="1:1" x14ac:dyDescent="0.3">
      <c r="A218">
        <v>3</v>
      </c>
    </row>
    <row r="219" spans="1:1" x14ac:dyDescent="0.3">
      <c r="A219">
        <v>5</v>
      </c>
    </row>
    <row r="220" spans="1:1" x14ac:dyDescent="0.3">
      <c r="A220">
        <v>3</v>
      </c>
    </row>
    <row r="221" spans="1:1" x14ac:dyDescent="0.3">
      <c r="A221">
        <v>2</v>
      </c>
    </row>
    <row r="222" spans="1:1" x14ac:dyDescent="0.3">
      <c r="A222">
        <v>9</v>
      </c>
    </row>
    <row r="223" spans="1:1" x14ac:dyDescent="0.3">
      <c r="A223">
        <v>2</v>
      </c>
    </row>
    <row r="224" spans="1:1" x14ac:dyDescent="0.3">
      <c r="A224">
        <v>2</v>
      </c>
    </row>
    <row r="225" spans="1:1" x14ac:dyDescent="0.3">
      <c r="A225">
        <v>8</v>
      </c>
    </row>
    <row r="226" spans="1:1" x14ac:dyDescent="0.3">
      <c r="A226">
        <v>9</v>
      </c>
    </row>
    <row r="227" spans="1:1" x14ac:dyDescent="0.3">
      <c r="A227">
        <v>7</v>
      </c>
    </row>
    <row r="228" spans="1:1" x14ac:dyDescent="0.3">
      <c r="A228">
        <v>3</v>
      </c>
    </row>
    <row r="229" spans="1:1" x14ac:dyDescent="0.3">
      <c r="A229">
        <v>9</v>
      </c>
    </row>
    <row r="230" spans="1:1" x14ac:dyDescent="0.3">
      <c r="A230">
        <v>3</v>
      </c>
    </row>
    <row r="231" spans="1:1" x14ac:dyDescent="0.3">
      <c r="A231">
        <v>5</v>
      </c>
    </row>
    <row r="232" spans="1:1" x14ac:dyDescent="0.3">
      <c r="A232">
        <v>9</v>
      </c>
    </row>
    <row r="233" spans="1:1" x14ac:dyDescent="0.3">
      <c r="A233">
        <v>3</v>
      </c>
    </row>
    <row r="234" spans="1:1" x14ac:dyDescent="0.3">
      <c r="A234">
        <v>7</v>
      </c>
    </row>
    <row r="235" spans="1:1" x14ac:dyDescent="0.3">
      <c r="A235">
        <v>1</v>
      </c>
    </row>
    <row r="236" spans="1:1" x14ac:dyDescent="0.3">
      <c r="A236">
        <v>4</v>
      </c>
    </row>
    <row r="237" spans="1:1" x14ac:dyDescent="0.3">
      <c r="A237">
        <v>4</v>
      </c>
    </row>
    <row r="238" spans="1:1" x14ac:dyDescent="0.3">
      <c r="A238">
        <v>7</v>
      </c>
    </row>
    <row r="239" spans="1:1" x14ac:dyDescent="0.3">
      <c r="A239">
        <v>8</v>
      </c>
    </row>
    <row r="240" spans="1:1" x14ac:dyDescent="0.3">
      <c r="A240">
        <v>1</v>
      </c>
    </row>
    <row r="241" spans="1:1" x14ac:dyDescent="0.3">
      <c r="A241">
        <v>5</v>
      </c>
    </row>
    <row r="242" spans="1:1" x14ac:dyDescent="0.3">
      <c r="A242">
        <v>7</v>
      </c>
    </row>
    <row r="243" spans="1:1" x14ac:dyDescent="0.3">
      <c r="A243">
        <v>4</v>
      </c>
    </row>
    <row r="244" spans="1:1" x14ac:dyDescent="0.3">
      <c r="A244">
        <v>4</v>
      </c>
    </row>
    <row r="245" spans="1:1" x14ac:dyDescent="0.3">
      <c r="A245">
        <v>4</v>
      </c>
    </row>
    <row r="246" spans="1:1" x14ac:dyDescent="0.3">
      <c r="A246">
        <v>6</v>
      </c>
    </row>
    <row r="247" spans="1:1" x14ac:dyDescent="0.3">
      <c r="A247">
        <v>7</v>
      </c>
    </row>
    <row r="248" spans="1:1" x14ac:dyDescent="0.3">
      <c r="A248">
        <v>2</v>
      </c>
    </row>
    <row r="249" spans="1:1" x14ac:dyDescent="0.3">
      <c r="A249">
        <v>5</v>
      </c>
    </row>
    <row r="250" spans="1:1" x14ac:dyDescent="0.3">
      <c r="A250">
        <v>4</v>
      </c>
    </row>
    <row r="251" spans="1:1" x14ac:dyDescent="0.3">
      <c r="A251">
        <v>3</v>
      </c>
    </row>
    <row r="252" spans="1:1" x14ac:dyDescent="0.3">
      <c r="A252">
        <v>7</v>
      </c>
    </row>
    <row r="253" spans="1:1" x14ac:dyDescent="0.3">
      <c r="A253">
        <v>6</v>
      </c>
    </row>
    <row r="254" spans="1:1" x14ac:dyDescent="0.3">
      <c r="A254">
        <v>7</v>
      </c>
    </row>
    <row r="255" spans="1:1" x14ac:dyDescent="0.3">
      <c r="A255">
        <v>5</v>
      </c>
    </row>
    <row r="256" spans="1:1" x14ac:dyDescent="0.3">
      <c r="A256">
        <v>6</v>
      </c>
    </row>
    <row r="257" spans="1:1" x14ac:dyDescent="0.3">
      <c r="A257">
        <v>5</v>
      </c>
    </row>
    <row r="258" spans="1:1" x14ac:dyDescent="0.3">
      <c r="A258">
        <v>7</v>
      </c>
    </row>
    <row r="259" spans="1:1" x14ac:dyDescent="0.3">
      <c r="A259">
        <v>2</v>
      </c>
    </row>
    <row r="260" spans="1:1" x14ac:dyDescent="0.3">
      <c r="A260">
        <v>5</v>
      </c>
    </row>
    <row r="261" spans="1:1" x14ac:dyDescent="0.3">
      <c r="A261">
        <v>6</v>
      </c>
    </row>
    <row r="262" spans="1:1" x14ac:dyDescent="0.3">
      <c r="A262">
        <v>6</v>
      </c>
    </row>
    <row r="263" spans="1:1" x14ac:dyDescent="0.3">
      <c r="A263">
        <v>5</v>
      </c>
    </row>
    <row r="264" spans="1:1" x14ac:dyDescent="0.3">
      <c r="A264">
        <v>7</v>
      </c>
    </row>
    <row r="265" spans="1:1" x14ac:dyDescent="0.3">
      <c r="A265">
        <v>8</v>
      </c>
    </row>
    <row r="266" spans="1:1" x14ac:dyDescent="0.3">
      <c r="A266">
        <v>7</v>
      </c>
    </row>
    <row r="267" spans="1:1" x14ac:dyDescent="0.3">
      <c r="A267">
        <v>5</v>
      </c>
    </row>
    <row r="268" spans="1:1" x14ac:dyDescent="0.3">
      <c r="A268">
        <v>1</v>
      </c>
    </row>
    <row r="269" spans="1:1" x14ac:dyDescent="0.3">
      <c r="A269">
        <v>5</v>
      </c>
    </row>
    <row r="270" spans="1:1" x14ac:dyDescent="0.3">
      <c r="A270">
        <v>2</v>
      </c>
    </row>
    <row r="271" spans="1:1" x14ac:dyDescent="0.3">
      <c r="A271">
        <v>5</v>
      </c>
    </row>
    <row r="272" spans="1:1" x14ac:dyDescent="0.3">
      <c r="A272">
        <v>5</v>
      </c>
    </row>
    <row r="273" spans="1:1" x14ac:dyDescent="0.3">
      <c r="A273">
        <v>2</v>
      </c>
    </row>
    <row r="274" spans="1:1" x14ac:dyDescent="0.3">
      <c r="A274">
        <v>5</v>
      </c>
    </row>
    <row r="275" spans="1:1" x14ac:dyDescent="0.3">
      <c r="A275">
        <v>4</v>
      </c>
    </row>
    <row r="276" spans="1:1" x14ac:dyDescent="0.3">
      <c r="A276">
        <v>1</v>
      </c>
    </row>
    <row r="277" spans="1:1" x14ac:dyDescent="0.3">
      <c r="A277">
        <v>3</v>
      </c>
    </row>
    <row r="278" spans="1:1" x14ac:dyDescent="0.3">
      <c r="A278">
        <v>1</v>
      </c>
    </row>
    <row r="279" spans="1:1" x14ac:dyDescent="0.3">
      <c r="A279">
        <v>5</v>
      </c>
    </row>
    <row r="280" spans="1:1" x14ac:dyDescent="0.3">
      <c r="A280">
        <v>4</v>
      </c>
    </row>
    <row r="281" spans="1:1" x14ac:dyDescent="0.3">
      <c r="A281">
        <v>7</v>
      </c>
    </row>
    <row r="282" spans="1:1" x14ac:dyDescent="0.3">
      <c r="A282">
        <v>5</v>
      </c>
    </row>
    <row r="283" spans="1:1" x14ac:dyDescent="0.3">
      <c r="A283">
        <v>4</v>
      </c>
    </row>
    <row r="284" spans="1:1" x14ac:dyDescent="0.3">
      <c r="A284">
        <v>2</v>
      </c>
    </row>
  </sheetData>
  <mergeCells count="3">
    <mergeCell ref="B10:B11"/>
    <mergeCell ref="F52:G53"/>
    <mergeCell ref="U51:V52"/>
  </mergeCell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55F2E-391C-4270-8363-E45BA899A749}">
  <dimension ref="C1"/>
  <sheetViews>
    <sheetView showGridLines="0" tabSelected="1" zoomScale="50" zoomScaleNormal="70" workbookViewId="0">
      <selection activeCell="X12" sqref="X12"/>
    </sheetView>
  </sheetViews>
  <sheetFormatPr defaultRowHeight="14.4" x14ac:dyDescent="0.3"/>
  <sheetData>
    <row r="1" spans="3:3" x14ac:dyDescent="0.3">
      <c r="C1"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E-Commerce Dataset</vt:lpstr>
      <vt:lpstr>Sheet3</vt:lpstr>
      <vt:lpstr>Sheet4</vt:lpstr>
      <vt:lpstr>Task-OB-1</vt:lpstr>
      <vt:lpstr>Task-OB-2</vt:lpstr>
      <vt:lpstr>Task-OB-3</vt:lpstr>
      <vt:lpstr>Task-OB-4</vt:lpstr>
      <vt:lpstr>Task-OB-5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sai</dc:creator>
  <cp:lastModifiedBy>Shiva sai</cp:lastModifiedBy>
  <cp:lastPrinted>2025-12-27T08:18:20Z</cp:lastPrinted>
  <dcterms:created xsi:type="dcterms:W3CDTF">2025-12-26T16:49:21Z</dcterms:created>
  <dcterms:modified xsi:type="dcterms:W3CDTF">2026-10-07T16:33:23Z</dcterms:modified>
</cp:coreProperties>
</file>